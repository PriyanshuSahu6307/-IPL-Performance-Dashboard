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riya\Desktop\IPL Dashboard\"/>
    </mc:Choice>
  </mc:AlternateContent>
  <xr:revisionPtr revIDLastSave="0" documentId="13_ncr:1_{B0570D47-1724-4D69-A465-F20C0BAEC76A}" xr6:coauthVersionLast="47" xr6:coauthVersionMax="47" xr10:uidLastSave="{00000000-0000-0000-0000-000000000000}"/>
  <bookViews>
    <workbookView xWindow="-108" yWindow="-108" windowWidth="23256" windowHeight="12456" activeTab="1" xr2:uid="{9E072F8C-EFB4-4505-BC70-A8F32C757A23}"/>
  </bookViews>
  <sheets>
    <sheet name="Team_performance_Dashboard" sheetId="12" r:id="rId1"/>
    <sheet name="Player_performance_dashboard" sheetId="13" r:id="rId2"/>
    <sheet name="Team_Summary" sheetId="10" r:id="rId3"/>
    <sheet name="Player_Summary" sheetId="11" r:id="rId4"/>
    <sheet name="Sheet4" sheetId="9" r:id="rId5"/>
    <sheet name="fact_player" sheetId="6" r:id="rId6"/>
    <sheet name="fact_match" sheetId="5" r:id="rId7"/>
    <sheet name="dim_venue" sheetId="4" r:id="rId8"/>
    <sheet name="dim_team" sheetId="3" r:id="rId9"/>
    <sheet name="dim_player" sheetId="2" r:id="rId10"/>
  </sheets>
  <definedNames>
    <definedName name="_xlcn.WorksheetConnection_Book1.xlsxdim_player1" hidden="1">dim_player[]</definedName>
    <definedName name="_xlcn.WorksheetConnection_Book1.xlsxdim_team1" hidden="1">dim_team[]</definedName>
    <definedName name="_xlcn.WorksheetConnection_Book1.xlsxdim_venue1" hidden="1">dim_venue[]</definedName>
    <definedName name="_xlcn.WorksheetConnection_Book1.xlsxfact_match1" hidden="1">fact_match[]</definedName>
    <definedName name="_xlcn.WorksheetConnection_Book1.xlsxfact_player1" hidden="1">fact_player[]</definedName>
    <definedName name="ExternalData_1" localSheetId="9" hidden="1">dim_player!$A$1:$H$34</definedName>
    <definedName name="ExternalData_2" localSheetId="8" hidden="1">dim_team!$A$1:$G$9</definedName>
    <definedName name="ExternalData_3" localSheetId="7" hidden="1">dim_venue!$A$1:$D$11</definedName>
    <definedName name="ExternalData_4" localSheetId="6" hidden="1">fact_match!$A$1:$N$61</definedName>
    <definedName name="ExternalData_5" localSheetId="5" hidden="1">fact_player!$A$1:$K$141</definedName>
    <definedName name="Slicer_Team_Name">#N/A</definedName>
    <definedName name="Slicer_Venue_Name">#N/A</definedName>
  </definedNames>
  <calcPr calcId="191029"/>
  <pivotCaches>
    <pivotCache cacheId="0" r:id="rId11"/>
    <pivotCache cacheId="843" r:id="rId12"/>
    <pivotCache cacheId="846" r:id="rId13"/>
    <pivotCache cacheId="849" r:id="rId14"/>
    <pivotCache cacheId="852" r:id="rId15"/>
    <pivotCache cacheId="855" r:id="rId16"/>
    <pivotCache cacheId="858" r:id="rId17"/>
    <pivotCache cacheId="861" r:id="rId18"/>
    <pivotCache cacheId="864" r:id="rId19"/>
    <pivotCache cacheId="867" r:id="rId20"/>
    <pivotCache cacheId="870" r:id="rId21"/>
  </pivotCaches>
  <extLst>
    <ext xmlns:x14="http://schemas.microsoft.com/office/spreadsheetml/2009/9/main" uri="{876F7934-8845-4945-9796-88D515C7AA90}">
      <x14:pivotCaches>
        <pivotCache cacheId="14"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xlsx!fact_player"/>
          <x15:modelTable id="fact_match" name="fact_match" connection="WorksheetConnection_Book1.xlsx!fact_match"/>
          <x15:modelTable id="dim_venue" name="dim_venue" connection="WorksheetConnection_Book1.xlsx!dim_venue"/>
          <x15:modelTable id="dim_team" name="dim_team" connection="WorksheetConnection_Book1.xlsx!dim_team"/>
          <x15:modelTable id="dim_player" name="dim_player" connection="WorksheetConnection_Book1.xlsx!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3" i="13" l="1"/>
  <c r="I6" i="10"/>
  <c r="L6" i="12" s="1"/>
  <c r="G13" i="13"/>
  <c r="V6" i="12"/>
  <c r="Q6" i="12"/>
  <c r="G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A49888-4527-4494-A926-124251A7655A}"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417B9BDA-CDC8-423D-9478-4DC74DE29ABD}"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B55B41E9-534C-459D-9405-DC656077676C}"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F86C669D-F20D-415E-9F1B-C894D57CB6C6}"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50A5DEB3-82BC-4B7D-B1F6-C9A5F3DEEE55}"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6F576827-BF6D-46EE-8C58-52DD095457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F9396E03-52DB-4A97-86DD-AE23743E23CC}" name="WorksheetConnection_Book1.xlsx!dim_player" type="102" refreshedVersion="8" minRefreshableVersion="5">
    <extLst>
      <ext xmlns:x15="http://schemas.microsoft.com/office/spreadsheetml/2010/11/main" uri="{DE250136-89BD-433C-8126-D09CA5730AF9}">
        <x15:connection id="dim_player">
          <x15:rangePr sourceName="_xlcn.WorksheetConnection_Book1.xlsxdim_player1"/>
        </x15:connection>
      </ext>
    </extLst>
  </connection>
  <connection id="8" xr16:uid="{48051DAE-D800-4CE1-8D59-F986B72DA3B1}" name="WorksheetConnection_Book1.xlsx!dim_team" type="102" refreshedVersion="8" minRefreshableVersion="5">
    <extLst>
      <ext xmlns:x15="http://schemas.microsoft.com/office/spreadsheetml/2010/11/main" uri="{DE250136-89BD-433C-8126-D09CA5730AF9}">
        <x15:connection id="dim_team">
          <x15:rangePr sourceName="_xlcn.WorksheetConnection_Book1.xlsxdim_team1"/>
        </x15:connection>
      </ext>
    </extLst>
  </connection>
  <connection id="9" xr16:uid="{615BDBD8-7496-4AA6-B13D-A79CE1F5202F}" name="WorksheetConnection_Book1.xlsx!dim_venue" type="102" refreshedVersion="8" minRefreshableVersion="5">
    <extLst>
      <ext xmlns:x15="http://schemas.microsoft.com/office/spreadsheetml/2010/11/main" uri="{DE250136-89BD-433C-8126-D09CA5730AF9}">
        <x15:connection id="dim_venue">
          <x15:rangePr sourceName="_xlcn.WorksheetConnection_Book1.xlsxdim_venue1"/>
        </x15:connection>
      </ext>
    </extLst>
  </connection>
  <connection id="10" xr16:uid="{D200476D-FDCC-47BE-ABA6-943612818B43}" name="WorksheetConnection_Book1.xlsx!fact_match" type="102" refreshedVersion="8" minRefreshableVersion="5">
    <extLst>
      <ext xmlns:x15="http://schemas.microsoft.com/office/spreadsheetml/2010/11/main" uri="{DE250136-89BD-433C-8126-D09CA5730AF9}">
        <x15:connection id="fact_match">
          <x15:rangePr sourceName="_xlcn.WorksheetConnection_Book1.xlsxfact_match1"/>
        </x15:connection>
      </ext>
    </extLst>
  </connection>
  <connection id="11" xr16:uid="{8CB33DE8-5DB5-4E44-8216-6E64992EA6A0}" name="WorksheetConnection_Book1.xlsx!fact_player" type="102" refreshedVersion="8" minRefreshableVersion="5">
    <extLst>
      <ext xmlns:x15="http://schemas.microsoft.com/office/spreadsheetml/2010/11/main" uri="{DE250136-89BD-433C-8126-D09CA5730AF9}">
        <x15:connection id="fact_player">
          <x15:rangePr sourceName="_xlcn.WorksheetConnection_Book1.xlsxfact_player1"/>
        </x15:connection>
      </ext>
    </extLst>
  </connection>
</connections>
</file>

<file path=xl/sharedStrings.xml><?xml version="1.0" encoding="utf-8"?>
<sst xmlns="http://schemas.openxmlformats.org/spreadsheetml/2006/main" count="2569" uniqueCount="458">
  <si>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</si>
  <si>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</si>
  <si>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</si>
  <si>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</si>
  <si>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</si>
  <si>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</si>
  <si>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</si>
  <si>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</si>
  <si>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</si>
  <si>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</si>
  <si>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</si>
  <si>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</si>
  <si>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</si>
  <si>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</si>
  <si>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</si>
  <si>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</si>
  <si>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</si>
  <si>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</si>
  <si>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</si>
  <si>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</si>
  <si>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</si>
  <si>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</si>
  <si>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</si>
  <si>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</si>
  <si>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</si>
  <si>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</si>
  <si>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</si>
  <si>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</si>
  <si>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</si>
  <si>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</si>
  <si>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</si>
  <si>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</si>
  <si>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</si>
  <si>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</si>
  <si>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</si>
  <si>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</si>
  <si>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</si>
  <si>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</si>
  <si>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</si>
  <si>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</si>
  <si>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</si>
  <si>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</si>
  <si>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</si>
  <si>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</si>
  <si>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</si>
  <si>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</si>
  <si>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</si>
  <si>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</si>
  <si>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</si>
  <si>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</si>
  <si>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</si>
  <si>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</si>
  <si>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</si>
  <si>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</si>
  <si>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</si>
  <si>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</si>
  <si>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</si>
  <si>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</si>
  <si>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</si>
  <si>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</si>
  <si>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</si>
  <si>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</si>
  <si>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</si>
  <si>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</si>
  <si>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</si>
  <si>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</si>
  <si>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</si>
  <si>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</si>
  <si>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</si>
  <si>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</si>
  <si>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</si>
  <si>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</si>
  <si>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</si>
  <si>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</si>
  <si>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</si>
  <si>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</si>
  <si>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</si>
  <si>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</si>
  <si>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</si>
  <si>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</si>
  <si>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</si>
  <si>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</si>
  <si>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</si>
  <si>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</si>
  <si>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</si>
  <si>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</si>
  <si>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</si>
  <si>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</si>
  <si>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</si>
  <si>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</si>
  <si>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</si>
  <si>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</si>
  <si>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</si>
  <si>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</si>
  <si>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</si>
  <si>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</si>
  <si>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</si>
  <si>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</si>
  <si>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</si>
  <si>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</si>
  <si>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</si>
  <si>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</si>
  <si>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</si>
  <si>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</si>
  <si>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</si>
  <si>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</si>
  <si>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</si>
  <si>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</si>
  <si>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</si>
  <si>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</si>
  <si>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</si>
  <si>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</si>
  <si>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</si>
  <si>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</si>
  <si>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</si>
  <si>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</si>
  <si>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</si>
  <si>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</si>
  <si>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</si>
  <si>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</si>
  <si>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</si>
  <si>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</si>
  <si>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</si>
  <si>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</si>
  <si>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</si>
  <si>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</si>
  <si>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</si>
  <si>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</si>
  <si>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</si>
  <si>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</si>
  <si>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</si>
  <si>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</si>
  <si>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</si>
  <si>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</si>
  <si>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</si>
  <si>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</si>
  <si>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</si>
  <si>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</si>
  <si>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</si>
  <si>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</si>
  <si>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</si>
  <si>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</si>
  <si>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</si>
  <si>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</si>
  <si>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</si>
  <si>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</si>
  <si>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</si>
  <si>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</si>
  <si>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</si>
  <si>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</si>
  <si>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</si>
  <si>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</si>
  <si>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</si>
  <si>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</si>
  <si>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</si>
  <si>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</si>
  <si>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</si>
  <si>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</si>
  <si>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</si>
  <si>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</si>
  <si>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</si>
  <si>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</si>
  <si>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</si>
  <si>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V02</t>
  </si>
  <si>
    <t>V03</t>
  </si>
  <si>
    <t>V04</t>
  </si>
  <si>
    <t>V05</t>
  </si>
  <si>
    <t>V06</t>
  </si>
  <si>
    <t>V07</t>
  </si>
  <si>
    <t>V08</t>
  </si>
  <si>
    <t>V09</t>
  </si>
  <si>
    <t>Narendra Modi Stadium</t>
  </si>
  <si>
    <t>Ahmedabad</t>
  </si>
  <si>
    <t>V10</t>
  </si>
  <si>
    <t>Bharat Ratna Shri Atal Bihari Vajpayee Ekana Cricket Stadium</t>
  </si>
  <si>
    <t>Lucknow</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</si>
  <si>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</si>
  <si>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</si>
  <si>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</si>
  <si>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</si>
  <si>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</si>
  <si>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</si>
  <si>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</si>
  <si>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</si>
  <si>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</si>
  <si>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</si>
  <si>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</si>
  <si>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</si>
  <si>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</si>
  <si>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</si>
  <si>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</si>
  <si>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</si>
  <si>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</si>
  <si>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</si>
  <si>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</si>
  <si>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</si>
  <si>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</si>
  <si>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</si>
  <si>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</si>
  <si>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</si>
  <si>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</si>
  <si>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</si>
  <si>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</si>
  <si>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</si>
  <si>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</si>
  <si>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</si>
  <si>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</si>
  <si>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</si>
  <si>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</si>
  <si>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</si>
  <si>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</si>
  <si>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</si>
  <si>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</si>
  <si>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</si>
  <si>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</si>
  <si>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</si>
  <si>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</si>
  <si>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</si>
  <si>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</si>
  <si>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</si>
  <si>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</si>
  <si>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</si>
  <si>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</si>
  <si>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</si>
  <si>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</si>
  <si>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</si>
  <si>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</si>
  <si>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</si>
  <si>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</si>
  <si>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</si>
  <si>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</si>
  <si>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</si>
  <si>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</si>
  <si>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</si>
  <si>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</si>
  <si>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</si>
  <si>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</si>
  <si>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</si>
  <si>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</si>
  <si>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</si>
  <si>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</si>
  <si>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</si>
  <si>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</si>
  <si>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</si>
  <si>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</si>
  <si>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</si>
  <si>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</si>
  <si>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</si>
  <si>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</si>
  <si>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</si>
  <si>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</si>
  <si>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</si>
  <si>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</si>
  <si>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</si>
  <si>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</si>
  <si>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</si>
  <si>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</si>
  <si>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</si>
  <si>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58</t>
  </si>
  <si>
    <t>32</t>
  </si>
  <si>
    <t>6</t>
  </si>
  <si>
    <t>3</t>
  </si>
  <si>
    <t>181.25</t>
  </si>
  <si>
    <t>0</t>
  </si>
  <si>
    <t>95</t>
  </si>
  <si>
    <t>10</t>
  </si>
  <si>
    <t>4</t>
  </si>
  <si>
    <t>163.79</t>
  </si>
  <si>
    <t>34</t>
  </si>
  <si>
    <t>18</t>
  </si>
  <si>
    <t>2</t>
  </si>
  <si>
    <t>188.89</t>
  </si>
  <si>
    <t>38</t>
  </si>
  <si>
    <t>9.5</t>
  </si>
  <si>
    <t>65</t>
  </si>
  <si>
    <t>40</t>
  </si>
  <si>
    <t>7</t>
  </si>
  <si>
    <t>162.5</t>
  </si>
  <si>
    <t>88</t>
  </si>
  <si>
    <t>52</t>
  </si>
  <si>
    <t>8</t>
  </si>
  <si>
    <t>169.23</t>
  </si>
  <si>
    <t>1</t>
  </si>
  <si>
    <t>180</t>
  </si>
  <si>
    <t>22</t>
  </si>
  <si>
    <t>5.5</t>
  </si>
  <si>
    <t>24</t>
  </si>
  <si>
    <t>56</t>
  </si>
  <si>
    <t>28</t>
  </si>
  <si>
    <t>5</t>
  </si>
  <si>
    <t>200</t>
  </si>
  <si>
    <t>3.3</t>
  </si>
  <si>
    <t>19</t>
  </si>
  <si>
    <t>5.43</t>
  </si>
  <si>
    <t>17</t>
  </si>
  <si>
    <t>4.25</t>
  </si>
  <si>
    <t>75</t>
  </si>
  <si>
    <t>45</t>
  </si>
  <si>
    <t>166.67</t>
  </si>
  <si>
    <t>48</t>
  </si>
  <si>
    <t>150</t>
  </si>
  <si>
    <t>105</t>
  </si>
  <si>
    <t>60</t>
  </si>
  <si>
    <t>12</t>
  </si>
  <si>
    <t>175</t>
  </si>
  <si>
    <t>9</t>
  </si>
  <si>
    <t>183.33</t>
  </si>
  <si>
    <t>55</t>
  </si>
  <si>
    <t>30</t>
  </si>
  <si>
    <t>68</t>
  </si>
  <si>
    <t>170</t>
  </si>
  <si>
    <t>20</t>
  </si>
  <si>
    <t>50</t>
  </si>
  <si>
    <t>26</t>
  </si>
  <si>
    <t>6.5</t>
  </si>
  <si>
    <t>23</t>
  </si>
  <si>
    <t>5.75</t>
  </si>
  <si>
    <t>80</t>
  </si>
  <si>
    <t>145.44999999999999</t>
  </si>
  <si>
    <t>78</t>
  </si>
  <si>
    <t>173.33</t>
  </si>
  <si>
    <t>90</t>
  </si>
  <si>
    <t>11</t>
  </si>
  <si>
    <t>21</t>
  </si>
  <si>
    <t>5.25</t>
  </si>
  <si>
    <t>102</t>
  </si>
  <si>
    <t>59</t>
  </si>
  <si>
    <t>172.88</t>
  </si>
  <si>
    <t>35</t>
  </si>
  <si>
    <t>171.43</t>
  </si>
  <si>
    <t>70</t>
  </si>
  <si>
    <t>42</t>
  </si>
  <si>
    <t>85</t>
  </si>
  <si>
    <t>25</t>
  </si>
  <si>
    <t>6.25</t>
  </si>
  <si>
    <t>187.5</t>
  </si>
  <si>
    <t>8.75</t>
  </si>
  <si>
    <t>110</t>
  </si>
  <si>
    <t>5.14</t>
  </si>
  <si>
    <t>120</t>
  </si>
  <si>
    <t>154.55000000000001</t>
  </si>
  <si>
    <t>190.91</t>
  </si>
  <si>
    <t>M061</t>
  </si>
  <si>
    <t>M062</t>
  </si>
  <si>
    <t>M063</t>
  </si>
  <si>
    <t>M064</t>
  </si>
  <si>
    <t>M065</t>
  </si>
  <si>
    <t>M066</t>
  </si>
  <si>
    <t>15</t>
  </si>
  <si>
    <t>M067</t>
  </si>
  <si>
    <t>M068</t>
  </si>
  <si>
    <t>M069</t>
  </si>
  <si>
    <t>M070</t>
  </si>
  <si>
    <t>3.75</t>
  </si>
  <si>
    <t>M071</t>
  </si>
  <si>
    <t>M072</t>
  </si>
  <si>
    <t>157.13999999999999</t>
  </si>
  <si>
    <t>M073</t>
  </si>
  <si>
    <t>M074</t>
  </si>
  <si>
    <t>155.56</t>
  </si>
  <si>
    <t>M075</t>
  </si>
  <si>
    <t>M076</t>
  </si>
  <si>
    <t>M077</t>
  </si>
  <si>
    <t>M078</t>
  </si>
  <si>
    <t>M079</t>
  </si>
  <si>
    <t>163.63999999999999</t>
  </si>
  <si>
    <t>M080</t>
  </si>
  <si>
    <t>M081</t>
  </si>
  <si>
    <t>M082</t>
  </si>
  <si>
    <t>M083</t>
  </si>
  <si>
    <t>M084</t>
  </si>
  <si>
    <t>7.5</t>
  </si>
  <si>
    <t>M085</t>
  </si>
  <si>
    <t>185.71</t>
  </si>
  <si>
    <t>M086</t>
  </si>
  <si>
    <t>160</t>
  </si>
  <si>
    <t>M087</t>
  </si>
  <si>
    <t>3.5</t>
  </si>
  <si>
    <t>3.86</t>
  </si>
  <si>
    <t>M088</t>
  </si>
  <si>
    <t>M089</t>
  </si>
  <si>
    <t>M090</t>
  </si>
  <si>
    <t>M091</t>
  </si>
  <si>
    <t>177.78</t>
  </si>
  <si>
    <t>M092</t>
  </si>
  <si>
    <t>M093</t>
  </si>
  <si>
    <t>M094</t>
  </si>
  <si>
    <t>142.86000000000001</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</si>
  <si>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</si>
  <si>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</si>
  <si>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</si>
  <si>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</si>
  <si>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</si>
  <si>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</si>
  <si>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</si>
  <si>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</si>
  <si>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</si>
  <si>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</si>
  <si>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</si>
  <si>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</si>
  <si>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</si>
  <si>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</si>
  <si>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</si>
  <si>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</si>
  <si>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</si>
  <si>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</si>
  <si>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</si>
  <si>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</si>
  <si>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</si>
  <si>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</si>
  <si>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4.5</t>
  </si>
  <si>
    <t>M117</t>
  </si>
  <si>
    <t>M118</t>
  </si>
  <si>
    <t>M119</t>
  </si>
  <si>
    <t>M120</t>
  </si>
  <si>
    <t>M121</t>
  </si>
  <si>
    <t>M122</t>
  </si>
  <si>
    <t>M123</t>
  </si>
  <si>
    <t>M124</t>
  </si>
  <si>
    <t>M125</t>
  </si>
  <si>
    <t>M126</t>
  </si>
  <si>
    <t>M127</t>
  </si>
  <si>
    <t>M128</t>
  </si>
  <si>
    <t>M129</t>
  </si>
  <si>
    <t>M130</t>
  </si>
  <si>
    <t>M131</t>
  </si>
  <si>
    <t>190</t>
  </si>
  <si>
    <t>M132</t>
  </si>
  <si>
    <t>M133</t>
  </si>
  <si>
    <t>M134</t>
  </si>
  <si>
    <t>M135</t>
  </si>
  <si>
    <t>M136</t>
  </si>
  <si>
    <t>M137</t>
  </si>
  <si>
    <t>M138</t>
  </si>
  <si>
    <t>M139</t>
  </si>
  <si>
    <t>M140</t>
  </si>
  <si>
    <t>(blank)</t>
  </si>
  <si>
    <t>Grand Total</t>
  </si>
  <si>
    <t>Team Name</t>
  </si>
  <si>
    <t>Total Matches</t>
  </si>
  <si>
    <t>Total Run</t>
  </si>
  <si>
    <t>Total Wickets</t>
  </si>
  <si>
    <t>Total Wins</t>
  </si>
  <si>
    <t>Player|Team|Role Name</t>
  </si>
  <si>
    <t>Total Runs</t>
  </si>
  <si>
    <t>Balls Faced</t>
  </si>
  <si>
    <t>Runs Conceded</t>
  </si>
  <si>
    <t>Strike Rate</t>
  </si>
  <si>
    <t>Win by Runs</t>
  </si>
  <si>
    <t>Win by Wickets</t>
  </si>
  <si>
    <t>Count of Team_ID</t>
  </si>
  <si>
    <t>Total Teams</t>
  </si>
  <si>
    <t>Player Name</t>
  </si>
  <si>
    <t>Player name</t>
  </si>
  <si>
    <t>PlayerAverageStrikeRate</t>
  </si>
  <si>
    <t>Sum of Strike_Rate</t>
  </si>
  <si>
    <t>Sum of Economy</t>
  </si>
  <si>
    <t>Avg Strike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</si>
</sst>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000000"/>
      <name val="Aptos Narrow"/>
      <family val="2"/>
      <scheme val="minor"/>
    </font>
    <font>
      <sz val="20"/>
      <color theme="1"/>
      <name val="Aptos Narrow"/>
      <family val="2"/>
      <scheme val="minor"/>
    </font>
    <font>
      <sz val="28"/>
      <color theme="1"/>
      <name val="Aptos Narrow"/>
      <family val="2"/>
      <scheme val="minor"/>
    </font>
    <font>
      <sz val="24"/>
      <color theme="1"/>
      <name val="Aptos Narrow"/>
      <family val="2"/>
      <scheme val="minor"/>
    </font>
    <font>
      <b/>
      <sz val="14"/>
      <color theme="1"/>
      <name val="Aptos Narrow"/>
      <family val="2"/>
      <scheme val="minor"/>
    </font>
    <font>
      <b/>
      <sz val="16"/>
      <color theme="1"/>
      <name val="Aptos Narrow"/>
      <family val="2"/>
      <scheme val="minor"/>
    </font>
    <font>
      <sz val="26"/>
      <color theme="1"/>
      <name val="Aptos Narrow"/>
      <family val="2"/>
      <scheme val="minor"/>
    </font>
  </fonts>
  <fills count="4">
    <fill>
      <patternFill patternType="none"/>
    </fill>
    <fill>
      <patternFill patternType="gray125"/>
    </fill>
    <fill>
      <patternFill patternType="solid">
        <fgColor rgb="FFFF9999"/>
        <bgColor indexed="64"/>
      </patternFill>
    </fill>
    <fill>
      <patternFill patternType="solid">
        <fgColor rgb="FF80808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1">
    <xf numFmtId="0" fontId="0" fillId="0" borderId="0" xfId="0"/>
    <xf numFmtId="0" fontId="0" fillId="0" borderId="0" xfId="0" applyNumberFormat="1"/>
    <xf numFmtId="14"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1" fillId="0" borderId="0" xfId="0" applyFont="1"/>
    <xf numFmtId="0" fontId="0" fillId="2" borderId="0" xfId="0" applyFill="1"/>
    <xf numFmtId="0" fontId="0" fillId="2" borderId="0" xfId="0" applyFill="1" applyAlignment="1">
      <alignment horizontal="center"/>
    </xf>
    <xf numFmtId="0" fontId="0" fillId="3" borderId="0" xfId="0" applyFill="1"/>
    <xf numFmtId="0" fontId="0" fillId="3" borderId="0" xfId="0" applyFill="1" applyAlignment="1">
      <alignment horizontal="center"/>
    </xf>
    <xf numFmtId="0" fontId="2" fillId="3" borderId="0" xfId="0" applyFont="1" applyFill="1" applyAlignment="1">
      <alignment horizontal="right" vertical="center"/>
    </xf>
    <xf numFmtId="0" fontId="3" fillId="3" borderId="0" xfId="0" applyFont="1" applyFill="1" applyAlignment="1">
      <alignment horizontal="center" vertical="center"/>
    </xf>
    <xf numFmtId="0" fontId="0" fillId="3" borderId="0" xfId="0" applyFill="1" applyAlignment="1">
      <alignment horizontal="center"/>
    </xf>
    <xf numFmtId="0" fontId="3" fillId="3" borderId="0" xfId="0" applyFont="1" applyFill="1" applyAlignment="1">
      <alignment horizontal="center" vertical="center"/>
    </xf>
    <xf numFmtId="0" fontId="5" fillId="3" borderId="0" xfId="0" applyFont="1" applyFill="1" applyAlignment="1">
      <alignment horizontal="right" vertical="center"/>
    </xf>
    <xf numFmtId="0" fontId="6" fillId="3" borderId="0" xfId="0" applyFont="1" applyFill="1" applyAlignment="1">
      <alignment horizontal="left" vertical="center"/>
    </xf>
    <xf numFmtId="0" fontId="7" fillId="3" borderId="0" xfId="0" applyFont="1" applyFill="1" applyAlignment="1">
      <alignment horizontal="center" vertical="center"/>
    </xf>
    <xf numFmtId="0" fontId="2" fillId="3" borderId="0" xfId="0" applyFont="1" applyFill="1" applyAlignment="1">
      <alignment horizontal="right"/>
    </xf>
    <xf numFmtId="0" fontId="4" fillId="2" borderId="0" xfId="0" applyFont="1" applyFill="1" applyAlignment="1">
      <alignment horizontal="center"/>
    </xf>
    <xf numFmtId="0" fontId="7" fillId="2" borderId="0" xfId="0" applyFont="1" applyFill="1" applyAlignment="1">
      <alignment horizontal="center" vertical="center"/>
    </xf>
  </cellXfs>
  <cellStyles count="1">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s>
  <tableStyles count="0" defaultTableStyle="TableStyleMedium2" defaultPivotStyle="PivotStyleLight16"/>
  <colors>
    <mruColors>
      <color rgb="FFFF9999"/>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1" Type="http://schemas.openxmlformats.org/officeDocument/2006/relationships/pivotCacheDefinition" Target="pivotCache/pivotCacheDefinition1.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0.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worksheet" Target="worksheets/sheet10.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[Book1.xlsx]Team_Summary!PivotTable10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Team_Summary!$J$19</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Team_Summary!$I$20:$I$22</c:f>
              <c:strCache>
                <c:ptCount val="2"/>
                <c:pt idx="0">
                  <c:v>Win by Runs</c:v>
                </c:pt>
                <c:pt idx="1">
                  <c:v>Win by Wickets</c:v>
                </c:pt>
              </c:strCache>
            </c:strRef>
          </c:cat>
          <c:val>
            <c:numRef>
              <c:f>Team_Summary!$J$20:$J$22</c:f>
              <c:numCache>
                <c:formatCode>General</c:formatCode>
                <c:ptCount val="2"/>
                <c:pt idx="0">
                  <c:v>13297</c:v>
                </c:pt>
                <c:pt idx="1">
                  <c:v>7647</c:v>
                </c:pt>
              </c:numCache>
            </c:numRef>
          </c:val>
          <c:extLst>
            <c:ext xmlns:c16="http://schemas.microsoft.com/office/drawing/2014/chart" uri="{C3380CC4-5D6E-409C-BE32-E72D297353CC}">
              <c16:uniqueId val="{00000008-4D8B-4D2E-A1FA-55B9C9C9FE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[Book1.xlsx]Team_Summary!PivotTable6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Team_Summary!$B$19</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Team_Summary!$A$20:$A$29</c:f>
              <c:strCache>
                <c:ptCount val="9"/>
                <c:pt idx="0">
                  <c:v>Royal Challengers Bengaluru (RCB)</c:v>
                </c:pt>
                <c:pt idx="1">
                  <c:v>(blank)</c:v>
                </c:pt>
                <c:pt idx="2">
                  <c:v>Chennai Super Kings (CSK)</c:v>
                </c:pt>
                <c:pt idx="3">
                  <c:v>Delhi Capitals (DC)</c:v>
                </c:pt>
                <c:pt idx="4">
                  <c:v>Kolkata Knight Riders (KKR)</c:v>
                </c:pt>
                <c:pt idx="5">
                  <c:v>Mumbai Indians (MI)</c:v>
                </c:pt>
                <c:pt idx="6">
                  <c:v>Punjab Kings (PBKS)</c:v>
                </c:pt>
                <c:pt idx="7">
                  <c:v>Rajasthan Royals (RR)</c:v>
                </c:pt>
                <c:pt idx="8">
                  <c:v>Sunrisers Hyderabad (SRH)</c:v>
                </c:pt>
              </c:strCache>
            </c:strRef>
          </c:cat>
          <c:val>
            <c:numRef>
              <c:f>Team_Summary!$B$20:$B$29</c:f>
              <c:numCache>
                <c:formatCode>0</c:formatCode>
                <c:ptCount val="9"/>
                <c:pt idx="0">
                  <c:v>4</c:v>
                </c:pt>
                <c:pt idx="1">
                  <c:v>0</c:v>
                </c:pt>
                <c:pt idx="2">
                  <c:v>5</c:v>
                </c:pt>
                <c:pt idx="3">
                  <c:v>2</c:v>
                </c:pt>
                <c:pt idx="4">
                  <c:v>4</c:v>
                </c:pt>
                <c:pt idx="5">
                  <c:v>4</c:v>
                </c:pt>
                <c:pt idx="6">
                  <c:v>2</c:v>
                </c:pt>
                <c:pt idx="7">
                  <c:v>4</c:v>
                </c:pt>
                <c:pt idx="8">
                  <c:v>5</c:v>
                </c:pt>
              </c:numCache>
            </c:numRef>
          </c:val>
          <c:extLst>
            <c:ext xmlns:c16="http://schemas.microsoft.com/office/drawing/2014/chart" uri="{C3380CC4-5D6E-409C-BE32-E72D297353CC}">
              <c16:uniqueId val="{00000004-2F7A-46BA-A047-2F2985739510}"/>
            </c:ext>
          </c:extLst>
        </c:ser>
        <c:dLbls>
          <c:showLegendKey val="0"/>
          <c:showVal val="1"/>
          <c:showCatName val="0"/>
          <c:showSerName val="0"/>
          <c:showPercent val="0"/>
          <c:showBubbleSize val="0"/>
        </c:dLbls>
        <c:gapWidth val="150"/>
        <c:shape val="box"/>
        <c:axId val="245703888"/>
        <c:axId val="245709168"/>
        <c:axId val="0"/>
      </c:bar3DChart>
      <c:catAx>
        <c:axId val="24570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09168"/>
        <c:crosses val="autoZero"/>
        <c:auto val="1"/>
        <c:lblAlgn val="ctr"/>
        <c:lblOffset val="100"/>
        <c:noMultiLvlLbl val="0"/>
      </c:catAx>
      <c:valAx>
        <c:axId val="2457091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[Book1.xlsx]Team_Summary!PivotTable7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Team_Summary!$B$36</c:f>
              <c:strCache>
                <c:ptCount val="1"/>
                <c:pt idx="0">
                  <c:v>Total</c:v>
                </c:pt>
              </c:strCache>
            </c:strRef>
          </c:tx>
          <c:spPr>
            <a:solidFill>
              <a:schemeClr val="accent2"/>
            </a:solidFill>
            <a:ln>
              <a:noFill/>
            </a:ln>
            <a:effectLst/>
            <a:sp3d/>
          </c:spPr>
          <c:invertIfNegative val="0"/>
          <c:cat>
            <c:strRef>
              <c:f>Team_Summary!$A$37:$A$45</c:f>
              <c:strCache>
                <c:ptCount val="8"/>
                <c:pt idx="0">
                  <c:v>Royal Challengers Bengaluru (RCB)</c:v>
                </c:pt>
                <c:pt idx="1">
                  <c:v>Chennai Super Kings (CSK)</c:v>
                </c:pt>
                <c:pt idx="2">
                  <c:v>Delhi Capitals (DC)</c:v>
                </c:pt>
                <c:pt idx="3">
                  <c:v>Kolkata Knight Riders (KKR)</c:v>
                </c:pt>
                <c:pt idx="4">
                  <c:v>Mumbai Indians (MI)</c:v>
                </c:pt>
                <c:pt idx="5">
                  <c:v>Punjab Kings (PBKS)</c:v>
                </c:pt>
                <c:pt idx="6">
                  <c:v>Rajasthan Royals (RR)</c:v>
                </c:pt>
                <c:pt idx="7">
                  <c:v>Sunrisers Hyderabad (SRH)</c:v>
                </c:pt>
              </c:strCache>
            </c:strRef>
          </c:cat>
          <c:val>
            <c:numRef>
              <c:f>Team_Summary!$B$37:$B$45</c:f>
              <c:numCache>
                <c:formatCode>General</c:formatCode>
                <c:ptCount val="8"/>
                <c:pt idx="0">
                  <c:v>2600</c:v>
                </c:pt>
                <c:pt idx="1">
                  <c:v>2869</c:v>
                </c:pt>
                <c:pt idx="2">
                  <c:v>2420</c:v>
                </c:pt>
                <c:pt idx="3">
                  <c:v>2788</c:v>
                </c:pt>
                <c:pt idx="4">
                  <c:v>2735</c:v>
                </c:pt>
                <c:pt idx="5">
                  <c:v>2458</c:v>
                </c:pt>
                <c:pt idx="6">
                  <c:v>2318</c:v>
                </c:pt>
                <c:pt idx="7">
                  <c:v>2756</c:v>
                </c:pt>
              </c:numCache>
            </c:numRef>
          </c:val>
          <c:extLst>
            <c:ext xmlns:c16="http://schemas.microsoft.com/office/drawing/2014/chart" uri="{C3380CC4-5D6E-409C-BE32-E72D297353CC}">
              <c16:uniqueId val="{00000004-4EC6-4737-B8B4-2433773AC678}"/>
            </c:ext>
          </c:extLst>
        </c:ser>
        <c:dLbls>
          <c:showLegendKey val="0"/>
          <c:showVal val="0"/>
          <c:showCatName val="0"/>
          <c:showSerName val="0"/>
          <c:showPercent val="0"/>
          <c:showBubbleSize val="0"/>
        </c:dLbls>
        <c:gapWidth val="150"/>
        <c:shape val="box"/>
        <c:axId val="252439088"/>
        <c:axId val="252439568"/>
        <c:axId val="0"/>
      </c:bar3DChart>
      <c:catAx>
        <c:axId val="252439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9568"/>
        <c:crosses val="autoZero"/>
        <c:auto val="1"/>
        <c:lblAlgn val="ctr"/>
        <c:lblOffset val="100"/>
        <c:noMultiLvlLbl val="0"/>
      </c:catAx>
      <c:valAx>
        <c:axId val="25243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[Book1.xlsx]Team_Summary!PivotTable11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Team_Summary!$B$53</c:f>
              <c:strCache>
                <c:ptCount val="1"/>
                <c:pt idx="0">
                  <c:v>Total</c:v>
                </c:pt>
              </c:strCache>
            </c:strRef>
          </c:tx>
          <c:spPr>
            <a:solidFill>
              <a:schemeClr val="accent5"/>
            </a:solidFill>
            <a:ln>
              <a:noFill/>
            </a:ln>
            <a:effectLst/>
          </c:spPr>
          <c:invertIfNegative val="0"/>
          <c:cat>
            <c:strRef>
              <c:f>Team_Summary!$A$54:$A$65</c:f>
              <c:strCache>
                <c:ptCount val="11"/>
                <c:pt idx="0">
                  <c:v>Arun Jaitley Stadium</c:v>
                </c:pt>
                <c:pt idx="1">
                  <c:v>Bharat Ratna Shri Atal Bihari Vajpayee Ekana Cricket Stadium</c:v>
                </c:pt>
                <c:pt idx="2">
                  <c:v>Eden Gardens</c:v>
                </c:pt>
                <c:pt idx="3">
                  <c:v>M. A. Chidambaram Stadium</c:v>
                </c:pt>
                <c:pt idx="4">
                  <c:v>M. Chinnaswamy Stadium</c:v>
                </c:pt>
                <c:pt idx="5">
                  <c:v>Maharaja Yadavindra Singh Int. Cricket Stadium</c:v>
                </c:pt>
                <c:pt idx="6">
                  <c:v>Narendra Modi Stadium</c:v>
                </c:pt>
                <c:pt idx="7">
                  <c:v>Rajiv Gandhi Int. Stadium</c:v>
                </c:pt>
                <c:pt idx="8">
                  <c:v>Sawai Mansingh Stadium</c:v>
                </c:pt>
                <c:pt idx="9">
                  <c:v>Wankhede Stadium</c:v>
                </c:pt>
                <c:pt idx="10">
                  <c:v>(blank)</c:v>
                </c:pt>
              </c:strCache>
            </c:strRef>
          </c:cat>
          <c:val>
            <c:numRef>
              <c:f>Team_Summary!$B$54:$B$65</c:f>
              <c:numCache>
                <c:formatCode>General</c:formatCode>
                <c:ptCount val="11"/>
                <c:pt idx="0">
                  <c:v>8</c:v>
                </c:pt>
                <c:pt idx="1">
                  <c:v>8</c:v>
                </c:pt>
                <c:pt idx="2">
                  <c:v>8</c:v>
                </c:pt>
                <c:pt idx="3">
                  <c:v>8</c:v>
                </c:pt>
                <c:pt idx="4">
                  <c:v>8</c:v>
                </c:pt>
                <c:pt idx="5">
                  <c:v>8</c:v>
                </c:pt>
                <c:pt idx="6">
                  <c:v>8</c:v>
                </c:pt>
                <c:pt idx="7">
                  <c:v>8</c:v>
                </c:pt>
                <c:pt idx="8">
                  <c:v>8</c:v>
                </c:pt>
                <c:pt idx="9">
                  <c:v>8</c:v>
                </c:pt>
                <c:pt idx="10">
                  <c:v>8</c:v>
                </c:pt>
              </c:numCache>
            </c:numRef>
          </c:val>
          <c:extLst>
            <c:ext xmlns:c16="http://schemas.microsoft.com/office/drawing/2014/chart" uri="{C3380CC4-5D6E-409C-BE32-E72D297353CC}">
              <c16:uniqueId val="{00000000-E5B3-4F30-B2CF-325DD3470998}"/>
            </c:ext>
          </c:extLst>
        </c:ser>
        <c:dLbls>
          <c:showLegendKey val="0"/>
          <c:showVal val="0"/>
          <c:showCatName val="0"/>
          <c:showSerName val="0"/>
          <c:showPercent val="0"/>
          <c:showBubbleSize val="0"/>
        </c:dLbls>
        <c:gapWidth val="150"/>
        <c:overlap val="100"/>
        <c:axId val="638899743"/>
        <c:axId val="638908863"/>
      </c:barChart>
      <c:catAx>
        <c:axId val="63889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08863"/>
        <c:crosses val="autoZero"/>
        <c:auto val="1"/>
        <c:lblAlgn val="ctr"/>
        <c:lblOffset val="100"/>
        <c:noMultiLvlLbl val="0"/>
      </c:catAx>
      <c:valAx>
        <c:axId val="6389088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89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[Book1.xlsx]Player_Summary!PivotTable1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Player_Summary!$K$3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Player_Summary!$J$4:$J$37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Player_Summary!$K$4:$K$37</c:f>
              <c:numCache>
                <c:formatCode>General</c:formatCode>
                <c:ptCount val="33"/>
                <c:pt idx="0">
                  <c:v>420</c:v>
                </c:pt>
                <c:pt idx="1">
                  <c:v>343</c:v>
                </c:pt>
                <c:pt idx="2">
                  <c:v>0</c:v>
                </c:pt>
                <c:pt idx="3">
                  <c:v>0</c:v>
                </c:pt>
                <c:pt idx="4">
                  <c:v>0</c:v>
                </c:pt>
                <c:pt idx="5">
                  <c:v>201</c:v>
                </c:pt>
                <c:pt idx="6">
                  <c:v>90</c:v>
                </c:pt>
                <c:pt idx="7">
                  <c:v>0</c:v>
                </c:pt>
                <c:pt idx="8">
                  <c:v>42</c:v>
                </c:pt>
                <c:pt idx="9">
                  <c:v>118</c:v>
                </c:pt>
                <c:pt idx="10">
                  <c:v>120</c:v>
                </c:pt>
                <c:pt idx="11">
                  <c:v>482</c:v>
                </c:pt>
                <c:pt idx="12">
                  <c:v>233</c:v>
                </c:pt>
                <c:pt idx="13">
                  <c:v>0</c:v>
                </c:pt>
                <c:pt idx="14">
                  <c:v>70</c:v>
                </c:pt>
                <c:pt idx="15">
                  <c:v>557</c:v>
                </c:pt>
                <c:pt idx="16">
                  <c:v>0</c:v>
                </c:pt>
                <c:pt idx="17">
                  <c:v>0</c:v>
                </c:pt>
                <c:pt idx="18">
                  <c:v>260</c:v>
                </c:pt>
                <c:pt idx="19">
                  <c:v>0</c:v>
                </c:pt>
                <c:pt idx="20">
                  <c:v>165</c:v>
                </c:pt>
                <c:pt idx="21">
                  <c:v>0</c:v>
                </c:pt>
                <c:pt idx="22">
                  <c:v>305</c:v>
                </c:pt>
                <c:pt idx="23">
                  <c:v>471</c:v>
                </c:pt>
                <c:pt idx="24">
                  <c:v>146</c:v>
                </c:pt>
                <c:pt idx="25">
                  <c:v>321</c:v>
                </c:pt>
                <c:pt idx="26">
                  <c:v>110</c:v>
                </c:pt>
                <c:pt idx="27">
                  <c:v>515</c:v>
                </c:pt>
                <c:pt idx="28">
                  <c:v>0</c:v>
                </c:pt>
                <c:pt idx="29">
                  <c:v>0</c:v>
                </c:pt>
                <c:pt idx="30">
                  <c:v>820</c:v>
                </c:pt>
                <c:pt idx="31">
                  <c:v>596</c:v>
                </c:pt>
                <c:pt idx="32">
                  <c:v>0</c:v>
                </c:pt>
              </c:numCache>
            </c:numRef>
          </c:val>
          <c:smooth val="0"/>
          <c:extLst>
            <c:ext xmlns:c16="http://schemas.microsoft.com/office/drawing/2014/chart" uri="{C3380CC4-5D6E-409C-BE32-E72D297353CC}">
              <c16:uniqueId val="{00000000-7BC1-4E35-9CA4-9EA065648F96}"/>
            </c:ext>
          </c:extLst>
        </c:ser>
        <c:dLbls>
          <c:dLblPos val="t"/>
          <c:showLegendKey val="0"/>
          <c:showVal val="1"/>
          <c:showCatName val="0"/>
          <c:showSerName val="0"/>
          <c:showPercent val="0"/>
          <c:showBubbleSize val="0"/>
        </c:dLbls>
        <c:smooth val="0"/>
        <c:axId val="1566422751"/>
        <c:axId val="1566423711"/>
      </c:lineChart>
      <c:catAx>
        <c:axId val="156642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23711"/>
        <c:crosses val="autoZero"/>
        <c:auto val="1"/>
        <c:lblAlgn val="ctr"/>
        <c:lblOffset val="100"/>
        <c:noMultiLvlLbl val="0"/>
      </c:catAx>
      <c:valAx>
        <c:axId val="156642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2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[Book1.xlsx]Player_Summary!PivotTable2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Player_Summary!$B$44</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Player_Summary!$A$45:$A$78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Player_Summary!$B$45:$B$78</c:f>
              <c:numCache>
                <c:formatCode>General</c:formatCode>
                <c:ptCount val="33"/>
                <c:pt idx="0">
                  <c:v>0</c:v>
                </c:pt>
                <c:pt idx="1">
                  <c:v>11</c:v>
                </c:pt>
                <c:pt idx="2">
                  <c:v>14</c:v>
                </c:pt>
                <c:pt idx="3">
                  <c:v>7</c:v>
                </c:pt>
                <c:pt idx="4">
                  <c:v>3</c:v>
                </c:pt>
                <c:pt idx="5">
                  <c:v>0</c:v>
                </c:pt>
                <c:pt idx="6">
                  <c:v>0</c:v>
                </c:pt>
                <c:pt idx="7">
                  <c:v>15</c:v>
                </c:pt>
                <c:pt idx="8">
                  <c:v>0</c:v>
                </c:pt>
                <c:pt idx="9">
                  <c:v>0</c:v>
                </c:pt>
                <c:pt idx="10">
                  <c:v>5</c:v>
                </c:pt>
                <c:pt idx="11">
                  <c:v>0</c:v>
                </c:pt>
                <c:pt idx="12">
                  <c:v>0</c:v>
                </c:pt>
                <c:pt idx="13">
                  <c:v>14</c:v>
                </c:pt>
                <c:pt idx="14">
                  <c:v>0</c:v>
                </c:pt>
                <c:pt idx="15">
                  <c:v>0</c:v>
                </c:pt>
                <c:pt idx="16">
                  <c:v>6</c:v>
                </c:pt>
                <c:pt idx="17">
                  <c:v>9</c:v>
                </c:pt>
                <c:pt idx="18">
                  <c:v>0</c:v>
                </c:pt>
                <c:pt idx="19">
                  <c:v>3</c:v>
                </c:pt>
                <c:pt idx="20">
                  <c:v>0</c:v>
                </c:pt>
                <c:pt idx="21">
                  <c:v>7</c:v>
                </c:pt>
                <c:pt idx="22">
                  <c:v>0</c:v>
                </c:pt>
                <c:pt idx="23">
                  <c:v>0</c:v>
                </c:pt>
                <c:pt idx="24">
                  <c:v>14</c:v>
                </c:pt>
                <c:pt idx="25">
                  <c:v>0</c:v>
                </c:pt>
                <c:pt idx="26">
                  <c:v>0</c:v>
                </c:pt>
                <c:pt idx="27">
                  <c:v>0</c:v>
                </c:pt>
                <c:pt idx="28">
                  <c:v>12</c:v>
                </c:pt>
                <c:pt idx="29">
                  <c:v>15</c:v>
                </c:pt>
                <c:pt idx="30">
                  <c:v>0</c:v>
                </c:pt>
                <c:pt idx="31">
                  <c:v>0</c:v>
                </c:pt>
                <c:pt idx="32">
                  <c:v>5</c:v>
                </c:pt>
              </c:numCache>
            </c:numRef>
          </c:val>
          <c:smooth val="0"/>
          <c:extLst>
            <c:ext xmlns:c16="http://schemas.microsoft.com/office/drawing/2014/chart" uri="{C3380CC4-5D6E-409C-BE32-E72D297353CC}">
              <c16:uniqueId val="{00000000-A026-446A-805A-369E8F7CAF2D}"/>
            </c:ext>
          </c:extLst>
        </c:ser>
        <c:dLbls>
          <c:dLblPos val="t"/>
          <c:showLegendKey val="0"/>
          <c:showVal val="1"/>
          <c:showCatName val="0"/>
          <c:showSerName val="0"/>
          <c:showPercent val="0"/>
          <c:showBubbleSize val="0"/>
        </c:dLbls>
        <c:marker val="1"/>
        <c:smooth val="0"/>
        <c:axId val="862914927"/>
        <c:axId val="862915407"/>
      </c:lineChart>
      <c:catAx>
        <c:axId val="86291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15407"/>
        <c:crosses val="autoZero"/>
        <c:auto val="1"/>
        <c:lblAlgn val="ctr"/>
        <c:lblOffset val="100"/>
        <c:noMultiLvlLbl val="0"/>
      </c:catAx>
      <c:valAx>
        <c:axId val="86291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[Book1.xlsx]Player_Summary!PivotTable4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Economy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Player_Summary!$M$44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DB-41A8-A4C0-E01A629E10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DB-41A8-A4C0-E01A629E10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DB-41A8-A4C0-E01A629E10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DB-41A8-A4C0-E01A629E10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DB-41A8-A4C0-E01A629E10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DB-41A8-A4C0-E01A629E102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EDB-41A8-A4C0-E01A629E102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EDB-41A8-A4C0-E01A629E102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EDB-41A8-A4C0-E01A629E102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EDB-41A8-A4C0-E01A629E102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EDB-41A8-A4C0-E01A629E102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EDB-41A8-A4C0-E01A629E102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EDB-41A8-A4C0-E01A629E102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EDB-41A8-A4C0-E01A629E102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EDB-41A8-A4C0-E01A629E102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EDB-41A8-A4C0-E01A629E102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EDB-41A8-A4C0-E01A629E102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EDB-41A8-A4C0-E01A629E102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EDB-41A8-A4C0-E01A629E102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EDB-41A8-A4C0-E01A629E102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EDB-41A8-A4C0-E01A629E102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EDB-41A8-A4C0-E01A629E102B}"/>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EDB-41A8-A4C0-E01A629E102B}"/>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EDB-41A8-A4C0-E01A629E102B}"/>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AEDB-41A8-A4C0-E01A629E102B}"/>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AEDB-41A8-A4C0-E01A629E102B}"/>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AEDB-41A8-A4C0-E01A629E102B}"/>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AEDB-41A8-A4C0-E01A629E102B}"/>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AEDB-41A8-A4C0-E01A629E102B}"/>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AEDB-41A8-A4C0-E01A629E102B}"/>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AEDB-41A8-A4C0-E01A629E102B}"/>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AEDB-41A8-A4C0-E01A629E102B}"/>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AEDB-41A8-A4C0-E01A629E10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Player_Summary!$L$45:$L$78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Player_Summary!$M$45:$M$78</c:f>
              <c:numCache>
                <c:formatCode>General</c:formatCode>
                <c:ptCount val="33"/>
                <c:pt idx="0">
                  <c:v>0</c:v>
                </c:pt>
                <c:pt idx="1">
                  <c:v>56</c:v>
                </c:pt>
                <c:pt idx="2">
                  <c:v>35</c:v>
                </c:pt>
                <c:pt idx="3">
                  <c:v>17</c:v>
                </c:pt>
                <c:pt idx="4">
                  <c:v>15</c:v>
                </c:pt>
                <c:pt idx="5">
                  <c:v>0</c:v>
                </c:pt>
                <c:pt idx="6">
                  <c:v>0</c:v>
                </c:pt>
                <c:pt idx="7">
                  <c:v>39</c:v>
                </c:pt>
                <c:pt idx="8">
                  <c:v>0</c:v>
                </c:pt>
                <c:pt idx="9">
                  <c:v>0</c:v>
                </c:pt>
                <c:pt idx="10">
                  <c:v>23</c:v>
                </c:pt>
                <c:pt idx="11">
                  <c:v>0</c:v>
                </c:pt>
                <c:pt idx="12">
                  <c:v>0</c:v>
                </c:pt>
                <c:pt idx="13">
                  <c:v>31</c:v>
                </c:pt>
                <c:pt idx="14">
                  <c:v>0</c:v>
                </c:pt>
                <c:pt idx="15">
                  <c:v>0</c:v>
                </c:pt>
                <c:pt idx="16">
                  <c:v>20</c:v>
                </c:pt>
                <c:pt idx="17">
                  <c:v>16</c:v>
                </c:pt>
                <c:pt idx="18">
                  <c:v>0</c:v>
                </c:pt>
                <c:pt idx="19">
                  <c:v>5</c:v>
                </c:pt>
                <c:pt idx="20">
                  <c:v>0</c:v>
                </c:pt>
                <c:pt idx="21">
                  <c:v>22</c:v>
                </c:pt>
                <c:pt idx="22">
                  <c:v>0</c:v>
                </c:pt>
                <c:pt idx="23">
                  <c:v>0</c:v>
                </c:pt>
                <c:pt idx="24">
                  <c:v>38</c:v>
                </c:pt>
                <c:pt idx="25">
                  <c:v>0</c:v>
                </c:pt>
                <c:pt idx="26">
                  <c:v>0</c:v>
                </c:pt>
                <c:pt idx="27">
                  <c:v>0</c:v>
                </c:pt>
                <c:pt idx="28">
                  <c:v>21</c:v>
                </c:pt>
                <c:pt idx="29">
                  <c:v>29</c:v>
                </c:pt>
                <c:pt idx="30">
                  <c:v>0</c:v>
                </c:pt>
                <c:pt idx="31">
                  <c:v>0</c:v>
                </c:pt>
                <c:pt idx="32">
                  <c:v>13</c:v>
                </c:pt>
              </c:numCache>
            </c:numRef>
          </c:val>
          <c:extLst>
            <c:ext xmlns:c16="http://schemas.microsoft.com/office/drawing/2014/chart" uri="{C3380CC4-5D6E-409C-BE32-E72D297353CC}">
              <c16:uniqueId val="{00000042-AEDB-41A8-A4C0-E01A629E10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[Book1.xlsx]Player_Summary!PivotTable3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Player_Summary!$B$82</c:f>
              <c:strCache>
                <c:ptCount val="1"/>
                <c:pt idx="0">
                  <c:v>PlayerAverageStrikeRate</c:v>
                </c:pt>
              </c:strCache>
            </c:strRef>
          </c:tx>
          <c:spPr>
            <a:solidFill>
              <a:schemeClr val="accent1"/>
            </a:solidFill>
            <a:ln>
              <a:noFill/>
            </a:ln>
            <a:effectLst/>
          </c:spPr>
          <c:invertIfNegative val="0"/>
          <c:cat>
            <c:strRef>
              <c:f>Player_Summary!$A$83:$A$116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Player_Summary!$B$83:$B$116</c:f>
              <c:numCache>
                <c:formatCode>0.00</c:formatCode>
                <c:ptCount val="33"/>
                <c:pt idx="0">
                  <c:v>167.33333333333334</c:v>
                </c:pt>
                <c:pt idx="1">
                  <c:v>191</c:v>
                </c:pt>
                <c:pt idx="2">
                  <c:v>0</c:v>
                </c:pt>
                <c:pt idx="3">
                  <c:v>0</c:v>
                </c:pt>
                <c:pt idx="4">
                  <c:v>0</c:v>
                </c:pt>
                <c:pt idx="5">
                  <c:v>156</c:v>
                </c:pt>
                <c:pt idx="6">
                  <c:v>180</c:v>
                </c:pt>
                <c:pt idx="7">
                  <c:v>0</c:v>
                </c:pt>
                <c:pt idx="8">
                  <c:v>200</c:v>
                </c:pt>
                <c:pt idx="9">
                  <c:v>185</c:v>
                </c:pt>
                <c:pt idx="10">
                  <c:v>159</c:v>
                </c:pt>
                <c:pt idx="11">
                  <c:v>190.71428571428572</c:v>
                </c:pt>
                <c:pt idx="12">
                  <c:v>159.25</c:v>
                </c:pt>
                <c:pt idx="13">
                  <c:v>0</c:v>
                </c:pt>
                <c:pt idx="14">
                  <c:v>167</c:v>
                </c:pt>
                <c:pt idx="15">
                  <c:v>173.28571428571428</c:v>
                </c:pt>
                <c:pt idx="16">
                  <c:v>0</c:v>
                </c:pt>
                <c:pt idx="17">
                  <c:v>0</c:v>
                </c:pt>
                <c:pt idx="18">
                  <c:v>161.5</c:v>
                </c:pt>
                <c:pt idx="19">
                  <c:v>0</c:v>
                </c:pt>
                <c:pt idx="20">
                  <c:v>173.66666666666666</c:v>
                </c:pt>
                <c:pt idx="21">
                  <c:v>0</c:v>
                </c:pt>
                <c:pt idx="22">
                  <c:v>177.25</c:v>
                </c:pt>
                <c:pt idx="23">
                  <c:v>178.42857142857142</c:v>
                </c:pt>
                <c:pt idx="24">
                  <c:v>183.66666666666666</c:v>
                </c:pt>
                <c:pt idx="25">
                  <c:v>172.25</c:v>
                </c:pt>
                <c:pt idx="26">
                  <c:v>169</c:v>
                </c:pt>
                <c:pt idx="27">
                  <c:v>165.14285714285714</c:v>
                </c:pt>
                <c:pt idx="28">
                  <c:v>0</c:v>
                </c:pt>
                <c:pt idx="29">
                  <c:v>0</c:v>
                </c:pt>
                <c:pt idx="30">
                  <c:v>170.7</c:v>
                </c:pt>
                <c:pt idx="31">
                  <c:v>168.875</c:v>
                </c:pt>
                <c:pt idx="32">
                  <c:v>0</c:v>
                </c:pt>
              </c:numCache>
            </c:numRef>
          </c:val>
          <c:extLst>
            <c:ext xmlns:c16="http://schemas.microsoft.com/office/drawing/2014/chart" uri="{C3380CC4-5D6E-409C-BE32-E72D297353CC}">
              <c16:uniqueId val="{00000000-DC7E-447D-9A32-756C69C04EB8}"/>
            </c:ext>
          </c:extLst>
        </c:ser>
        <c:dLbls>
          <c:showLegendKey val="0"/>
          <c:showVal val="0"/>
          <c:showCatName val="0"/>
          <c:showSerName val="0"/>
          <c:showPercent val="0"/>
          <c:showBubbleSize val="0"/>
        </c:dLbls>
        <c:gapWidth val="219"/>
        <c:overlap val="-27"/>
        <c:axId val="1026771487"/>
        <c:axId val="1026786847"/>
      </c:barChart>
      <c:lineChart>
        <c:grouping val="standard"/>
        <c:varyColors val="0"/>
        <c:ser>
          <c:idx val="1"/>
          <c:order val="1"/>
          <c:tx>
            <c:strRef>
              <c:f>Player_Summary!$C$82</c:f>
              <c:strCache>
                <c:ptCount val="1"/>
                <c:pt idx="0">
                  <c:v>Sum of Strike_Rate</c:v>
                </c:pt>
              </c:strCache>
            </c:strRef>
          </c:tx>
          <c:spPr>
            <a:ln w="28575" cap="rnd">
              <a:solidFill>
                <a:schemeClr val="accent2"/>
              </a:solidFill>
              <a:round/>
            </a:ln>
            <a:effectLst/>
          </c:spPr>
          <c:marker>
            <c:symbol val="none"/>
          </c:marker>
          <c:cat>
            <c:strRef>
              <c:f>Player_Summary!$A$83:$A$116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Player_Summary!$C$83:$C$116</c:f>
              <c:numCache>
                <c:formatCode>General</c:formatCode>
                <c:ptCount val="33"/>
                <c:pt idx="0">
                  <c:v>1004</c:v>
                </c:pt>
                <c:pt idx="1">
                  <c:v>1146</c:v>
                </c:pt>
                <c:pt idx="2">
                  <c:v>0</c:v>
                </c:pt>
                <c:pt idx="3">
                  <c:v>0</c:v>
                </c:pt>
                <c:pt idx="4">
                  <c:v>0</c:v>
                </c:pt>
                <c:pt idx="5">
                  <c:v>624</c:v>
                </c:pt>
                <c:pt idx="6">
                  <c:v>180</c:v>
                </c:pt>
                <c:pt idx="7">
                  <c:v>0</c:v>
                </c:pt>
                <c:pt idx="8">
                  <c:v>200</c:v>
                </c:pt>
                <c:pt idx="9">
                  <c:v>370</c:v>
                </c:pt>
                <c:pt idx="10">
                  <c:v>477</c:v>
                </c:pt>
                <c:pt idx="11">
                  <c:v>1335</c:v>
                </c:pt>
                <c:pt idx="12">
                  <c:v>637</c:v>
                </c:pt>
                <c:pt idx="13">
                  <c:v>0</c:v>
                </c:pt>
                <c:pt idx="14">
                  <c:v>167</c:v>
                </c:pt>
                <c:pt idx="15">
                  <c:v>1213</c:v>
                </c:pt>
                <c:pt idx="16">
                  <c:v>0</c:v>
                </c:pt>
                <c:pt idx="17">
                  <c:v>0</c:v>
                </c:pt>
                <c:pt idx="18">
                  <c:v>646</c:v>
                </c:pt>
                <c:pt idx="19">
                  <c:v>0</c:v>
                </c:pt>
                <c:pt idx="20">
                  <c:v>521</c:v>
                </c:pt>
                <c:pt idx="21">
                  <c:v>0</c:v>
                </c:pt>
                <c:pt idx="22">
                  <c:v>709</c:v>
                </c:pt>
                <c:pt idx="23">
                  <c:v>1249</c:v>
                </c:pt>
                <c:pt idx="24">
                  <c:v>1102</c:v>
                </c:pt>
                <c:pt idx="25">
                  <c:v>689</c:v>
                </c:pt>
                <c:pt idx="26">
                  <c:v>338</c:v>
                </c:pt>
                <c:pt idx="27">
                  <c:v>1156</c:v>
                </c:pt>
                <c:pt idx="28">
                  <c:v>0</c:v>
                </c:pt>
                <c:pt idx="29">
                  <c:v>0</c:v>
                </c:pt>
                <c:pt idx="30">
                  <c:v>1707</c:v>
                </c:pt>
                <c:pt idx="31">
                  <c:v>1351</c:v>
                </c:pt>
                <c:pt idx="32">
                  <c:v>0</c:v>
                </c:pt>
              </c:numCache>
            </c:numRef>
          </c:val>
          <c:smooth val="0"/>
          <c:extLst>
            <c:ext xmlns:c16="http://schemas.microsoft.com/office/drawing/2014/chart" uri="{C3380CC4-5D6E-409C-BE32-E72D297353CC}">
              <c16:uniqueId val="{00000001-DC7E-447D-9A32-756C69C04EB8}"/>
            </c:ext>
          </c:extLst>
        </c:ser>
        <c:dLbls>
          <c:showLegendKey val="0"/>
          <c:showVal val="0"/>
          <c:showCatName val="0"/>
          <c:showSerName val="0"/>
          <c:showPercent val="0"/>
          <c:showBubbleSize val="0"/>
        </c:dLbls>
        <c:marker val="1"/>
        <c:smooth val="0"/>
        <c:axId val="1026769087"/>
        <c:axId val="1026779167"/>
      </c:lineChart>
      <c:catAx>
        <c:axId val="102676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79167"/>
        <c:crosses val="autoZero"/>
        <c:auto val="1"/>
        <c:lblAlgn val="ctr"/>
        <c:lblOffset val="100"/>
        <c:noMultiLvlLbl val="0"/>
      </c:catAx>
      <c:valAx>
        <c:axId val="10267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69087"/>
        <c:crosses val="autoZero"/>
        <c:crossBetween val="between"/>
      </c:valAx>
      <c:valAx>
        <c:axId val="10267868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71487"/>
        <c:crosses val="max"/>
        <c:crossBetween val="between"/>
      </c:valAx>
      <c:catAx>
        <c:axId val="1026771487"/>
        <c:scaling>
          <c:orientation val="minMax"/>
        </c:scaling>
        <c:delete val="1"/>
        <c:axPos val="b"/>
        <c:numFmt formatCode="General" sourceLinked="1"/>
        <c:majorTickMark val="out"/>
        <c:minorTickMark val="none"/>
        <c:tickLblPos val="nextTo"/>
        <c:crossAx val="10267868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[Book1.xlsx]Team_Summary!PivotTable6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Team_Summary!$B$19</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Team_Summary!$A$20:$A$29</c:f>
              <c:strCache>
                <c:ptCount val="9"/>
                <c:pt idx="0">
                  <c:v>Royal Challengers Bengaluru (RCB)</c:v>
                </c:pt>
                <c:pt idx="1">
                  <c:v>(blank)</c:v>
                </c:pt>
                <c:pt idx="2">
                  <c:v>Chennai Super Kings (CSK)</c:v>
                </c:pt>
                <c:pt idx="3">
                  <c:v>Delhi Capitals (DC)</c:v>
                </c:pt>
                <c:pt idx="4">
                  <c:v>Kolkata Knight Riders (KKR)</c:v>
                </c:pt>
                <c:pt idx="5">
                  <c:v>Mumbai Indians (MI)</c:v>
                </c:pt>
                <c:pt idx="6">
                  <c:v>Punjab Kings (PBKS)</c:v>
                </c:pt>
                <c:pt idx="7">
                  <c:v>Rajasthan Royals (RR)</c:v>
                </c:pt>
                <c:pt idx="8">
                  <c:v>Sunrisers Hyderabad (SRH)</c:v>
                </c:pt>
              </c:strCache>
            </c:strRef>
          </c:cat>
          <c:val>
            <c:numRef>
              <c:f>Team_Summary!$B$20:$B$29</c:f>
              <c:numCache>
                <c:formatCode>0</c:formatCode>
                <c:ptCount val="9"/>
                <c:pt idx="0">
                  <c:v>4</c:v>
                </c:pt>
                <c:pt idx="1">
                  <c:v>0</c:v>
                </c:pt>
                <c:pt idx="2">
                  <c:v>5</c:v>
                </c:pt>
                <c:pt idx="3">
                  <c:v>2</c:v>
                </c:pt>
                <c:pt idx="4">
                  <c:v>4</c:v>
                </c:pt>
                <c:pt idx="5">
                  <c:v>4</c:v>
                </c:pt>
                <c:pt idx="6">
                  <c:v>2</c:v>
                </c:pt>
                <c:pt idx="7">
                  <c:v>4</c:v>
                </c:pt>
                <c:pt idx="8">
                  <c:v>5</c:v>
                </c:pt>
              </c:numCache>
            </c:numRef>
          </c:val>
          <c:extLst>
            <c:ext xmlns:c16="http://schemas.microsoft.com/office/drawing/2014/chart" uri="{C3380CC4-5D6E-409C-BE32-E72D297353CC}">
              <c16:uniqueId val="{00000002-27C0-4D52-AD14-A326E8C1F6BF}"/>
            </c:ext>
          </c:extLst>
        </c:ser>
        <c:dLbls>
          <c:showLegendKey val="0"/>
          <c:showVal val="1"/>
          <c:showCatName val="0"/>
          <c:showSerName val="0"/>
          <c:showPercent val="0"/>
          <c:showBubbleSize val="0"/>
        </c:dLbls>
        <c:gapWidth val="150"/>
        <c:shape val="box"/>
        <c:axId val="245703888"/>
        <c:axId val="245709168"/>
        <c:axId val="0"/>
      </c:bar3DChart>
      <c:catAx>
        <c:axId val="24570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09168"/>
        <c:crosses val="autoZero"/>
        <c:auto val="1"/>
        <c:lblAlgn val="ctr"/>
        <c:lblOffset val="100"/>
        <c:noMultiLvlLbl val="0"/>
      </c:catAx>
      <c:valAx>
        <c:axId val="2457091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[Book1.xlsx]Team_Summary!PivotTable7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Team_Summary!$B$36</c:f>
              <c:strCache>
                <c:ptCount val="1"/>
                <c:pt idx="0">
                  <c:v>Total</c:v>
                </c:pt>
              </c:strCache>
            </c:strRef>
          </c:tx>
          <c:spPr>
            <a:solidFill>
              <a:schemeClr val="accent2"/>
            </a:solidFill>
            <a:ln>
              <a:noFill/>
            </a:ln>
            <a:effectLst/>
            <a:sp3d/>
          </c:spPr>
          <c:invertIfNegative val="0"/>
          <c:cat>
            <c:strRef>
              <c:f>Team_Summary!$A$37:$A$45</c:f>
              <c:strCache>
                <c:ptCount val="8"/>
                <c:pt idx="0">
                  <c:v>Royal Challengers Bengaluru (RCB)</c:v>
                </c:pt>
                <c:pt idx="1">
                  <c:v>Chennai Super Kings (CSK)</c:v>
                </c:pt>
                <c:pt idx="2">
                  <c:v>Delhi Capitals (DC)</c:v>
                </c:pt>
                <c:pt idx="3">
                  <c:v>Kolkata Knight Riders (KKR)</c:v>
                </c:pt>
                <c:pt idx="4">
                  <c:v>Mumbai Indians (MI)</c:v>
                </c:pt>
                <c:pt idx="5">
                  <c:v>Punjab Kings (PBKS)</c:v>
                </c:pt>
                <c:pt idx="6">
                  <c:v>Rajasthan Royals (RR)</c:v>
                </c:pt>
                <c:pt idx="7">
                  <c:v>Sunrisers Hyderabad (SRH)</c:v>
                </c:pt>
              </c:strCache>
            </c:strRef>
          </c:cat>
          <c:val>
            <c:numRef>
              <c:f>Team_Summary!$B$37:$B$45</c:f>
              <c:numCache>
                <c:formatCode>General</c:formatCode>
                <c:ptCount val="8"/>
                <c:pt idx="0">
                  <c:v>2600</c:v>
                </c:pt>
                <c:pt idx="1">
                  <c:v>2869</c:v>
                </c:pt>
                <c:pt idx="2">
                  <c:v>2420</c:v>
                </c:pt>
                <c:pt idx="3">
                  <c:v>2788</c:v>
                </c:pt>
                <c:pt idx="4">
                  <c:v>2735</c:v>
                </c:pt>
                <c:pt idx="5">
                  <c:v>2458</c:v>
                </c:pt>
                <c:pt idx="6">
                  <c:v>2318</c:v>
                </c:pt>
                <c:pt idx="7">
                  <c:v>2756</c:v>
                </c:pt>
              </c:numCache>
            </c:numRef>
          </c:val>
          <c:extLst>
            <c:ext xmlns:c16="http://schemas.microsoft.com/office/drawing/2014/chart" uri="{C3380CC4-5D6E-409C-BE32-E72D297353CC}">
              <c16:uniqueId val="{00000002-6498-40C7-8AD8-F58BEF053BFA}"/>
            </c:ext>
          </c:extLst>
        </c:ser>
        <c:dLbls>
          <c:showLegendKey val="0"/>
          <c:showVal val="0"/>
          <c:showCatName val="0"/>
          <c:showSerName val="0"/>
          <c:showPercent val="0"/>
          <c:showBubbleSize val="0"/>
        </c:dLbls>
        <c:gapWidth val="150"/>
        <c:shape val="box"/>
        <c:axId val="252439088"/>
        <c:axId val="252439568"/>
        <c:axId val="0"/>
      </c:bar3DChart>
      <c:catAx>
        <c:axId val="252439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9568"/>
        <c:crosses val="autoZero"/>
        <c:auto val="1"/>
        <c:lblAlgn val="ctr"/>
        <c:lblOffset val="100"/>
        <c:noMultiLvlLbl val="0"/>
      </c:catAx>
      <c:valAx>
        <c:axId val="25243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43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[Book1.xlsx]Team_Summary!PivotTable10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Team_Summary!$J$19</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Team_Summary!$I$20:$I$22</c:f>
              <c:strCache>
                <c:ptCount val="2"/>
                <c:pt idx="0">
                  <c:v>Win by Runs</c:v>
                </c:pt>
                <c:pt idx="1">
                  <c:v>Win by Wickets</c:v>
                </c:pt>
              </c:strCache>
            </c:strRef>
          </c:cat>
          <c:val>
            <c:numRef>
              <c:f>Team_Summary!$J$20:$J$22</c:f>
              <c:numCache>
                <c:formatCode>General</c:formatCode>
                <c:ptCount val="2"/>
                <c:pt idx="0">
                  <c:v>13297</c:v>
                </c:pt>
                <c:pt idx="1">
                  <c:v>7647</c:v>
                </c:pt>
              </c:numCache>
            </c:numRef>
          </c:val>
          <c:extLst>
            <c:ext xmlns:c16="http://schemas.microsoft.com/office/drawing/2014/chart" uri="{C3380CC4-5D6E-409C-BE32-E72D297353CC}">
              <c16:uniqueId val="{00000006-042A-4FF2-B79E-BB6886E6DB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[Book1.xlsx]Team_Summary!PivotTable11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a:t>
            </a:r>
            <a:r>
              <a:rPr lang="en-US" baseline="0"/>
              <a:t> Vs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Team_Summary!$B$53</c:f>
              <c:strCache>
                <c:ptCount val="1"/>
                <c:pt idx="0">
                  <c:v>Total</c:v>
                </c:pt>
              </c:strCache>
            </c:strRef>
          </c:tx>
          <c:spPr>
            <a:solidFill>
              <a:schemeClr val="accent5"/>
            </a:solidFill>
            <a:ln>
              <a:noFill/>
            </a:ln>
            <a:effectLst/>
          </c:spPr>
          <c:invertIfNegative val="0"/>
          <c:cat>
            <c:strRef>
              <c:f>Team_Summary!$A$54:$A$65</c:f>
              <c:strCache>
                <c:ptCount val="11"/>
                <c:pt idx="0">
                  <c:v>Arun Jaitley Stadium</c:v>
                </c:pt>
                <c:pt idx="1">
                  <c:v>Bharat Ratna Shri Atal Bihari Vajpayee Ekana Cricket Stadium</c:v>
                </c:pt>
                <c:pt idx="2">
                  <c:v>Eden Gardens</c:v>
                </c:pt>
                <c:pt idx="3">
                  <c:v>M. A. Chidambaram Stadium</c:v>
                </c:pt>
                <c:pt idx="4">
                  <c:v>M. Chinnaswamy Stadium</c:v>
                </c:pt>
                <c:pt idx="5">
                  <c:v>Maharaja Yadavindra Singh Int. Cricket Stadium</c:v>
                </c:pt>
                <c:pt idx="6">
                  <c:v>Narendra Modi Stadium</c:v>
                </c:pt>
                <c:pt idx="7">
                  <c:v>Rajiv Gandhi Int. Stadium</c:v>
                </c:pt>
                <c:pt idx="8">
                  <c:v>Sawai Mansingh Stadium</c:v>
                </c:pt>
                <c:pt idx="9">
                  <c:v>Wankhede Stadium</c:v>
                </c:pt>
                <c:pt idx="10">
                  <c:v>(blank)</c:v>
                </c:pt>
              </c:strCache>
            </c:strRef>
          </c:cat>
          <c:val>
            <c:numRef>
              <c:f>Team_Summary!$B$54:$B$65</c:f>
              <c:numCache>
                <c:formatCode>General</c:formatCode>
                <c:ptCount val="11"/>
                <c:pt idx="0">
                  <c:v>8</c:v>
                </c:pt>
                <c:pt idx="1">
                  <c:v>8</c:v>
                </c:pt>
                <c:pt idx="2">
                  <c:v>8</c:v>
                </c:pt>
                <c:pt idx="3">
                  <c:v>8</c:v>
                </c:pt>
                <c:pt idx="4">
                  <c:v>8</c:v>
                </c:pt>
                <c:pt idx="5">
                  <c:v>8</c:v>
                </c:pt>
                <c:pt idx="6">
                  <c:v>8</c:v>
                </c:pt>
                <c:pt idx="7">
                  <c:v>8</c:v>
                </c:pt>
                <c:pt idx="8">
                  <c:v>8</c:v>
                </c:pt>
                <c:pt idx="9">
                  <c:v>8</c:v>
                </c:pt>
                <c:pt idx="10">
                  <c:v>8</c:v>
                </c:pt>
              </c:numCache>
            </c:numRef>
          </c:val>
          <c:extLst>
            <c:ext xmlns:c16="http://schemas.microsoft.com/office/drawing/2014/chart" uri="{C3380CC4-5D6E-409C-BE32-E72D297353CC}">
              <c16:uniqueId val="{00000000-6192-4EE5-993F-24A9D51BD3E8}"/>
            </c:ext>
          </c:extLst>
        </c:ser>
        <c:dLbls>
          <c:dLblPos val="ctr"/>
          <c:showLegendKey val="0"/>
          <c:showVal val="0"/>
          <c:showCatName val="0"/>
          <c:showSerName val="0"/>
          <c:showPercent val="0"/>
          <c:showBubbleSize val="0"/>
        </c:dLbls>
        <c:gapWidth val="150"/>
        <c:overlap val="100"/>
        <c:axId val="638899743"/>
        <c:axId val="638908863"/>
      </c:barChart>
      <c:catAx>
        <c:axId val="63889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08863"/>
        <c:crosses val="autoZero"/>
        <c:auto val="1"/>
        <c:lblAlgn val="ctr"/>
        <c:lblOffset val="100"/>
        <c:noMultiLvlLbl val="0"/>
      </c:catAx>
      <c:valAx>
        <c:axId val="6389088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89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[Book1.xlsx]Player_Summary!PivotTable1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Player_Summary!$K$3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Player_Summary!$J$4:$J$37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Player_Summary!$K$4:$K$37</c:f>
              <c:numCache>
                <c:formatCode>General</c:formatCode>
                <c:ptCount val="33"/>
                <c:pt idx="0">
                  <c:v>420</c:v>
                </c:pt>
                <c:pt idx="1">
                  <c:v>343</c:v>
                </c:pt>
                <c:pt idx="2">
                  <c:v>0</c:v>
                </c:pt>
                <c:pt idx="3">
                  <c:v>0</c:v>
                </c:pt>
                <c:pt idx="4">
                  <c:v>0</c:v>
                </c:pt>
                <c:pt idx="5">
                  <c:v>201</c:v>
                </c:pt>
                <c:pt idx="6">
                  <c:v>90</c:v>
                </c:pt>
                <c:pt idx="7">
                  <c:v>0</c:v>
                </c:pt>
                <c:pt idx="8">
                  <c:v>42</c:v>
                </c:pt>
                <c:pt idx="9">
                  <c:v>118</c:v>
                </c:pt>
                <c:pt idx="10">
                  <c:v>120</c:v>
                </c:pt>
                <c:pt idx="11">
                  <c:v>482</c:v>
                </c:pt>
                <c:pt idx="12">
                  <c:v>233</c:v>
                </c:pt>
                <c:pt idx="13">
                  <c:v>0</c:v>
                </c:pt>
                <c:pt idx="14">
                  <c:v>70</c:v>
                </c:pt>
                <c:pt idx="15">
                  <c:v>557</c:v>
                </c:pt>
                <c:pt idx="16">
                  <c:v>0</c:v>
                </c:pt>
                <c:pt idx="17">
                  <c:v>0</c:v>
                </c:pt>
                <c:pt idx="18">
                  <c:v>260</c:v>
                </c:pt>
                <c:pt idx="19">
                  <c:v>0</c:v>
                </c:pt>
                <c:pt idx="20">
                  <c:v>165</c:v>
                </c:pt>
                <c:pt idx="21">
                  <c:v>0</c:v>
                </c:pt>
                <c:pt idx="22">
                  <c:v>305</c:v>
                </c:pt>
                <c:pt idx="23">
                  <c:v>471</c:v>
                </c:pt>
                <c:pt idx="24">
                  <c:v>146</c:v>
                </c:pt>
                <c:pt idx="25">
                  <c:v>321</c:v>
                </c:pt>
                <c:pt idx="26">
                  <c:v>110</c:v>
                </c:pt>
                <c:pt idx="27">
                  <c:v>515</c:v>
                </c:pt>
                <c:pt idx="28">
                  <c:v>0</c:v>
                </c:pt>
                <c:pt idx="29">
                  <c:v>0</c:v>
                </c:pt>
                <c:pt idx="30">
                  <c:v>820</c:v>
                </c:pt>
                <c:pt idx="31">
                  <c:v>596</c:v>
                </c:pt>
                <c:pt idx="32">
                  <c:v>0</c:v>
                </c:pt>
              </c:numCache>
            </c:numRef>
          </c:val>
          <c:smooth val="0"/>
          <c:extLst>
            <c:ext xmlns:c16="http://schemas.microsoft.com/office/drawing/2014/chart" uri="{C3380CC4-5D6E-409C-BE32-E72D297353CC}">
              <c16:uniqueId val="{00000000-7127-41BF-B3D5-A50240B50346}"/>
            </c:ext>
          </c:extLst>
        </c:ser>
        <c:dLbls>
          <c:dLblPos val="t"/>
          <c:showLegendKey val="0"/>
          <c:showVal val="1"/>
          <c:showCatName val="0"/>
          <c:showSerName val="0"/>
          <c:showPercent val="0"/>
          <c:showBubbleSize val="0"/>
        </c:dLbls>
        <c:smooth val="0"/>
        <c:axId val="1566422751"/>
        <c:axId val="1566423711"/>
      </c:lineChart>
      <c:catAx>
        <c:axId val="156642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23711"/>
        <c:crosses val="autoZero"/>
        <c:auto val="1"/>
        <c:lblAlgn val="ctr"/>
        <c:lblOffset val="100"/>
        <c:noMultiLvlLbl val="0"/>
      </c:catAx>
      <c:valAx>
        <c:axId val="156642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2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[Book1.xlsx]Player_Summary!PivotTable2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Player_Summary!$B$44</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Player_Summary!$A$45:$A$78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Player_Summary!$B$45:$B$78</c:f>
              <c:numCache>
                <c:formatCode>General</c:formatCode>
                <c:ptCount val="33"/>
                <c:pt idx="0">
                  <c:v>0</c:v>
                </c:pt>
                <c:pt idx="1">
                  <c:v>11</c:v>
                </c:pt>
                <c:pt idx="2">
                  <c:v>14</c:v>
                </c:pt>
                <c:pt idx="3">
                  <c:v>7</c:v>
                </c:pt>
                <c:pt idx="4">
                  <c:v>3</c:v>
                </c:pt>
                <c:pt idx="5">
                  <c:v>0</c:v>
                </c:pt>
                <c:pt idx="6">
                  <c:v>0</c:v>
                </c:pt>
                <c:pt idx="7">
                  <c:v>15</c:v>
                </c:pt>
                <c:pt idx="8">
                  <c:v>0</c:v>
                </c:pt>
                <c:pt idx="9">
                  <c:v>0</c:v>
                </c:pt>
                <c:pt idx="10">
                  <c:v>5</c:v>
                </c:pt>
                <c:pt idx="11">
                  <c:v>0</c:v>
                </c:pt>
                <c:pt idx="12">
                  <c:v>0</c:v>
                </c:pt>
                <c:pt idx="13">
                  <c:v>14</c:v>
                </c:pt>
                <c:pt idx="14">
                  <c:v>0</c:v>
                </c:pt>
                <c:pt idx="15">
                  <c:v>0</c:v>
                </c:pt>
                <c:pt idx="16">
                  <c:v>6</c:v>
                </c:pt>
                <c:pt idx="17">
                  <c:v>9</c:v>
                </c:pt>
                <c:pt idx="18">
                  <c:v>0</c:v>
                </c:pt>
                <c:pt idx="19">
                  <c:v>3</c:v>
                </c:pt>
                <c:pt idx="20">
                  <c:v>0</c:v>
                </c:pt>
                <c:pt idx="21">
                  <c:v>7</c:v>
                </c:pt>
                <c:pt idx="22">
                  <c:v>0</c:v>
                </c:pt>
                <c:pt idx="23">
                  <c:v>0</c:v>
                </c:pt>
                <c:pt idx="24">
                  <c:v>14</c:v>
                </c:pt>
                <c:pt idx="25">
                  <c:v>0</c:v>
                </c:pt>
                <c:pt idx="26">
                  <c:v>0</c:v>
                </c:pt>
                <c:pt idx="27">
                  <c:v>0</c:v>
                </c:pt>
                <c:pt idx="28">
                  <c:v>12</c:v>
                </c:pt>
                <c:pt idx="29">
                  <c:v>15</c:v>
                </c:pt>
                <c:pt idx="30">
                  <c:v>0</c:v>
                </c:pt>
                <c:pt idx="31">
                  <c:v>0</c:v>
                </c:pt>
                <c:pt idx="32">
                  <c:v>5</c:v>
                </c:pt>
              </c:numCache>
            </c:numRef>
          </c:val>
          <c:smooth val="0"/>
          <c:extLst>
            <c:ext xmlns:c16="http://schemas.microsoft.com/office/drawing/2014/chart" uri="{C3380CC4-5D6E-409C-BE32-E72D297353CC}">
              <c16:uniqueId val="{00000000-E756-4C42-B19A-4F3C212E2FCE}"/>
            </c:ext>
          </c:extLst>
        </c:ser>
        <c:dLbls>
          <c:dLblPos val="t"/>
          <c:showLegendKey val="0"/>
          <c:showVal val="1"/>
          <c:showCatName val="0"/>
          <c:showSerName val="0"/>
          <c:showPercent val="0"/>
          <c:showBubbleSize val="0"/>
        </c:dLbls>
        <c:marker val="1"/>
        <c:smooth val="0"/>
        <c:axId val="862914927"/>
        <c:axId val="862915407"/>
      </c:lineChart>
      <c:catAx>
        <c:axId val="86291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15407"/>
        <c:crosses val="autoZero"/>
        <c:auto val="1"/>
        <c:lblAlgn val="ctr"/>
        <c:lblOffset val="100"/>
        <c:noMultiLvlLbl val="0"/>
      </c:catAx>
      <c:valAx>
        <c:axId val="86291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91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[Book1.xlsx]Player_Summary!PivotTable3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Player_Summary!$B$82</c:f>
              <c:strCache>
                <c:ptCount val="1"/>
                <c:pt idx="0">
                  <c:v>PlayerAverageStrikeRate</c:v>
                </c:pt>
              </c:strCache>
            </c:strRef>
          </c:tx>
          <c:spPr>
            <a:solidFill>
              <a:schemeClr val="accent1"/>
            </a:solidFill>
            <a:ln>
              <a:noFill/>
            </a:ln>
            <a:effectLst/>
          </c:spPr>
          <c:invertIfNegative val="0"/>
          <c:cat>
            <c:strRef>
              <c:f>Player_Summary!$A$83:$A$116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Player_Summary!$B$83:$B$116</c:f>
              <c:numCache>
                <c:formatCode>0.00</c:formatCode>
                <c:ptCount val="33"/>
                <c:pt idx="0">
                  <c:v>167.33333333333334</c:v>
                </c:pt>
                <c:pt idx="1">
                  <c:v>191</c:v>
                </c:pt>
                <c:pt idx="2">
                  <c:v>0</c:v>
                </c:pt>
                <c:pt idx="3">
                  <c:v>0</c:v>
                </c:pt>
                <c:pt idx="4">
                  <c:v>0</c:v>
                </c:pt>
                <c:pt idx="5">
                  <c:v>156</c:v>
                </c:pt>
                <c:pt idx="6">
                  <c:v>180</c:v>
                </c:pt>
                <c:pt idx="7">
                  <c:v>0</c:v>
                </c:pt>
                <c:pt idx="8">
                  <c:v>200</c:v>
                </c:pt>
                <c:pt idx="9">
                  <c:v>185</c:v>
                </c:pt>
                <c:pt idx="10">
                  <c:v>159</c:v>
                </c:pt>
                <c:pt idx="11">
                  <c:v>190.71428571428572</c:v>
                </c:pt>
                <c:pt idx="12">
                  <c:v>159.25</c:v>
                </c:pt>
                <c:pt idx="13">
                  <c:v>0</c:v>
                </c:pt>
                <c:pt idx="14">
                  <c:v>167</c:v>
                </c:pt>
                <c:pt idx="15">
                  <c:v>173.28571428571428</c:v>
                </c:pt>
                <c:pt idx="16">
                  <c:v>0</c:v>
                </c:pt>
                <c:pt idx="17">
                  <c:v>0</c:v>
                </c:pt>
                <c:pt idx="18">
                  <c:v>161.5</c:v>
                </c:pt>
                <c:pt idx="19">
                  <c:v>0</c:v>
                </c:pt>
                <c:pt idx="20">
                  <c:v>173.66666666666666</c:v>
                </c:pt>
                <c:pt idx="21">
                  <c:v>0</c:v>
                </c:pt>
                <c:pt idx="22">
                  <c:v>177.25</c:v>
                </c:pt>
                <c:pt idx="23">
                  <c:v>178.42857142857142</c:v>
                </c:pt>
                <c:pt idx="24">
                  <c:v>183.66666666666666</c:v>
                </c:pt>
                <c:pt idx="25">
                  <c:v>172.25</c:v>
                </c:pt>
                <c:pt idx="26">
                  <c:v>169</c:v>
                </c:pt>
                <c:pt idx="27">
                  <c:v>165.14285714285714</c:v>
                </c:pt>
                <c:pt idx="28">
                  <c:v>0</c:v>
                </c:pt>
                <c:pt idx="29">
                  <c:v>0</c:v>
                </c:pt>
                <c:pt idx="30">
                  <c:v>170.7</c:v>
                </c:pt>
                <c:pt idx="31">
                  <c:v>168.875</c:v>
                </c:pt>
                <c:pt idx="32">
                  <c:v>0</c:v>
                </c:pt>
              </c:numCache>
            </c:numRef>
          </c:val>
          <c:extLst>
            <c:ext xmlns:c16="http://schemas.microsoft.com/office/drawing/2014/chart" uri="{C3380CC4-5D6E-409C-BE32-E72D297353CC}">
              <c16:uniqueId val="{00000000-DCA8-4ABA-B7FF-0DD16F52D46E}"/>
            </c:ext>
          </c:extLst>
        </c:ser>
        <c:dLbls>
          <c:showLegendKey val="0"/>
          <c:showVal val="0"/>
          <c:showCatName val="0"/>
          <c:showSerName val="0"/>
          <c:showPercent val="0"/>
          <c:showBubbleSize val="0"/>
        </c:dLbls>
        <c:gapWidth val="219"/>
        <c:overlap val="-27"/>
        <c:axId val="1026771487"/>
        <c:axId val="1026786847"/>
      </c:barChart>
      <c:lineChart>
        <c:grouping val="standard"/>
        <c:varyColors val="0"/>
        <c:ser>
          <c:idx val="1"/>
          <c:order val="1"/>
          <c:tx>
            <c:strRef>
              <c:f>Player_Summary!$C$82</c:f>
              <c:strCache>
                <c:ptCount val="1"/>
                <c:pt idx="0">
                  <c:v>Sum of Strike_Rate</c:v>
                </c:pt>
              </c:strCache>
            </c:strRef>
          </c:tx>
          <c:spPr>
            <a:ln w="28575" cap="rnd">
              <a:solidFill>
                <a:schemeClr val="accent2"/>
              </a:solidFill>
              <a:round/>
            </a:ln>
            <a:effectLst/>
          </c:spPr>
          <c:marker>
            <c:symbol val="none"/>
          </c:marker>
          <c:cat>
            <c:strRef>
              <c:f>Player_Summary!$A$83:$A$116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Player_Summary!$C$83:$C$116</c:f>
              <c:numCache>
                <c:formatCode>General</c:formatCode>
                <c:ptCount val="33"/>
                <c:pt idx="0">
                  <c:v>1004</c:v>
                </c:pt>
                <c:pt idx="1">
                  <c:v>1146</c:v>
                </c:pt>
                <c:pt idx="2">
                  <c:v>0</c:v>
                </c:pt>
                <c:pt idx="3">
                  <c:v>0</c:v>
                </c:pt>
                <c:pt idx="4">
                  <c:v>0</c:v>
                </c:pt>
                <c:pt idx="5">
                  <c:v>624</c:v>
                </c:pt>
                <c:pt idx="6">
                  <c:v>180</c:v>
                </c:pt>
                <c:pt idx="7">
                  <c:v>0</c:v>
                </c:pt>
                <c:pt idx="8">
                  <c:v>200</c:v>
                </c:pt>
                <c:pt idx="9">
                  <c:v>370</c:v>
                </c:pt>
                <c:pt idx="10">
                  <c:v>477</c:v>
                </c:pt>
                <c:pt idx="11">
                  <c:v>1335</c:v>
                </c:pt>
                <c:pt idx="12">
                  <c:v>637</c:v>
                </c:pt>
                <c:pt idx="13">
                  <c:v>0</c:v>
                </c:pt>
                <c:pt idx="14">
                  <c:v>167</c:v>
                </c:pt>
                <c:pt idx="15">
                  <c:v>1213</c:v>
                </c:pt>
                <c:pt idx="16">
                  <c:v>0</c:v>
                </c:pt>
                <c:pt idx="17">
                  <c:v>0</c:v>
                </c:pt>
                <c:pt idx="18">
                  <c:v>646</c:v>
                </c:pt>
                <c:pt idx="19">
                  <c:v>0</c:v>
                </c:pt>
                <c:pt idx="20">
                  <c:v>521</c:v>
                </c:pt>
                <c:pt idx="21">
                  <c:v>0</c:v>
                </c:pt>
                <c:pt idx="22">
                  <c:v>709</c:v>
                </c:pt>
                <c:pt idx="23">
                  <c:v>1249</c:v>
                </c:pt>
                <c:pt idx="24">
                  <c:v>1102</c:v>
                </c:pt>
                <c:pt idx="25">
                  <c:v>689</c:v>
                </c:pt>
                <c:pt idx="26">
                  <c:v>338</c:v>
                </c:pt>
                <c:pt idx="27">
                  <c:v>1156</c:v>
                </c:pt>
                <c:pt idx="28">
                  <c:v>0</c:v>
                </c:pt>
                <c:pt idx="29">
                  <c:v>0</c:v>
                </c:pt>
                <c:pt idx="30">
                  <c:v>1707</c:v>
                </c:pt>
                <c:pt idx="31">
                  <c:v>1351</c:v>
                </c:pt>
                <c:pt idx="32">
                  <c:v>0</c:v>
                </c:pt>
              </c:numCache>
            </c:numRef>
          </c:val>
          <c:smooth val="0"/>
          <c:extLst>
            <c:ext xmlns:c16="http://schemas.microsoft.com/office/drawing/2014/chart" uri="{C3380CC4-5D6E-409C-BE32-E72D297353CC}">
              <c16:uniqueId val="{00000001-DCA8-4ABA-B7FF-0DD16F52D46E}"/>
            </c:ext>
          </c:extLst>
        </c:ser>
        <c:dLbls>
          <c:showLegendKey val="0"/>
          <c:showVal val="0"/>
          <c:showCatName val="0"/>
          <c:showSerName val="0"/>
          <c:showPercent val="0"/>
          <c:showBubbleSize val="0"/>
        </c:dLbls>
        <c:marker val="1"/>
        <c:smooth val="0"/>
        <c:axId val="1026769087"/>
        <c:axId val="1026779167"/>
      </c:lineChart>
      <c:catAx>
        <c:axId val="102676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79167"/>
        <c:crosses val="autoZero"/>
        <c:auto val="1"/>
        <c:lblAlgn val="ctr"/>
        <c:lblOffset val="100"/>
        <c:noMultiLvlLbl val="0"/>
      </c:catAx>
      <c:valAx>
        <c:axId val="102677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69087"/>
        <c:crosses val="autoZero"/>
        <c:crossBetween val="between"/>
      </c:valAx>
      <c:valAx>
        <c:axId val="10267868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71487"/>
        <c:crosses val="max"/>
        <c:crossBetween val="between"/>
      </c:valAx>
      <c:catAx>
        <c:axId val="1026771487"/>
        <c:scaling>
          <c:orientation val="minMax"/>
        </c:scaling>
        <c:delete val="1"/>
        <c:axPos val="b"/>
        <c:numFmt formatCode="General" sourceLinked="1"/>
        <c:majorTickMark val="out"/>
        <c:minorTickMark val="none"/>
        <c:tickLblPos val="nextTo"/>
        <c:crossAx val="102678684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[Book1.xlsx]Player_Summary!PivotTable4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Economy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Player_Summary!$M$44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Player_Summary!$L$45:$L$78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Player_Summary!$M$45:$M$78</c:f>
              <c:numCache>
                <c:formatCode>General</c:formatCode>
                <c:ptCount val="33"/>
                <c:pt idx="0">
                  <c:v>0</c:v>
                </c:pt>
                <c:pt idx="1">
                  <c:v>56</c:v>
                </c:pt>
                <c:pt idx="2">
                  <c:v>35</c:v>
                </c:pt>
                <c:pt idx="3">
                  <c:v>17</c:v>
                </c:pt>
                <c:pt idx="4">
                  <c:v>15</c:v>
                </c:pt>
                <c:pt idx="5">
                  <c:v>0</c:v>
                </c:pt>
                <c:pt idx="6">
                  <c:v>0</c:v>
                </c:pt>
                <c:pt idx="7">
                  <c:v>39</c:v>
                </c:pt>
                <c:pt idx="8">
                  <c:v>0</c:v>
                </c:pt>
                <c:pt idx="9">
                  <c:v>0</c:v>
                </c:pt>
                <c:pt idx="10">
                  <c:v>23</c:v>
                </c:pt>
                <c:pt idx="11">
                  <c:v>0</c:v>
                </c:pt>
                <c:pt idx="12">
                  <c:v>0</c:v>
                </c:pt>
                <c:pt idx="13">
                  <c:v>31</c:v>
                </c:pt>
                <c:pt idx="14">
                  <c:v>0</c:v>
                </c:pt>
                <c:pt idx="15">
                  <c:v>0</c:v>
                </c:pt>
                <c:pt idx="16">
                  <c:v>20</c:v>
                </c:pt>
                <c:pt idx="17">
                  <c:v>16</c:v>
                </c:pt>
                <c:pt idx="18">
                  <c:v>0</c:v>
                </c:pt>
                <c:pt idx="19">
                  <c:v>5</c:v>
                </c:pt>
                <c:pt idx="20">
                  <c:v>0</c:v>
                </c:pt>
                <c:pt idx="21">
                  <c:v>22</c:v>
                </c:pt>
                <c:pt idx="22">
                  <c:v>0</c:v>
                </c:pt>
                <c:pt idx="23">
                  <c:v>0</c:v>
                </c:pt>
                <c:pt idx="24">
                  <c:v>38</c:v>
                </c:pt>
                <c:pt idx="25">
                  <c:v>0</c:v>
                </c:pt>
                <c:pt idx="26">
                  <c:v>0</c:v>
                </c:pt>
                <c:pt idx="27">
                  <c:v>0</c:v>
                </c:pt>
                <c:pt idx="28">
                  <c:v>21</c:v>
                </c:pt>
                <c:pt idx="29">
                  <c:v>29</c:v>
                </c:pt>
                <c:pt idx="30">
                  <c:v>0</c:v>
                </c:pt>
                <c:pt idx="31">
                  <c:v>0</c:v>
                </c:pt>
                <c:pt idx="32">
                  <c:v>13</c:v>
                </c:pt>
              </c:numCache>
            </c:numRef>
          </c:val>
          <c:extLst>
            <c:ext xmlns:c16="http://schemas.microsoft.com/office/drawing/2014/chart" uri="{C3380CC4-5D6E-409C-BE32-E72D297353CC}">
              <c16:uniqueId val="{00000000-D770-442D-B0C8-7FB5D95B43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10</xdr:col>
      <xdr:colOff>11207</xdr:colOff>
      <xdr:row>25</xdr:row>
      <xdr:rowOff>145676</xdr:rowOff>
    </xdr:from>
    <xdr:to>
      <xdr:col>16</xdr:col>
      <xdr:colOff>560295</xdr:colOff>
      <xdr:row>41</xdr:row>
      <xdr:rowOff>123264</xdr:rowOff>
    </xdr:to>
    <xdr:graphicFrame macro="">
      <xdr:nvGraphicFramePr>
        <xdr:cNvPr id="6" name="Chart 5">
          <a:extLst>
            <a:ext uri="{FF2B5EF4-FFF2-40B4-BE49-F238E27FC236}">
              <a16:creationId xmlns:a16="http://schemas.microsoft.com/office/drawing/2014/main" id="{C3028737-6879-4A46-AE11-37351D650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56029</xdr:colOff>
      <xdr:row>9</xdr:row>
      <xdr:rowOff>22412</xdr:rowOff>
    </xdr:from>
    <xdr:to>
      <xdr:col>9</xdr:col>
      <xdr:colOff>33618</xdr:colOff>
      <xdr:row>23</xdr:row>
      <xdr:rowOff>156883</xdr:rowOff>
    </xdr:to>
    <xdr:graphicFrame macro="">
      <xdr:nvGraphicFramePr>
        <xdr:cNvPr id="7" name="Chart 6">
          <a:extLst>
            <a:ext uri="{FF2B5EF4-FFF2-40B4-BE49-F238E27FC236}">
              <a16:creationId xmlns:a16="http://schemas.microsoft.com/office/drawing/2014/main" id="{0822CF33-2CD8-4903-AE55-3CEB99448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537882</xdr:colOff>
      <xdr:row>9</xdr:row>
      <xdr:rowOff>44824</xdr:rowOff>
    </xdr:from>
    <xdr:to>
      <xdr:col>19</xdr:col>
      <xdr:colOff>0</xdr:colOff>
      <xdr:row>24</xdr:row>
      <xdr:rowOff>33617</xdr:rowOff>
    </xdr:to>
    <xdr:graphicFrame macro="">
      <xdr:nvGraphicFramePr>
        <xdr:cNvPr id="8" name="Chart 7">
          <a:extLst>
            <a:ext uri="{FF2B5EF4-FFF2-40B4-BE49-F238E27FC236}">
              <a16:creationId xmlns:a16="http://schemas.microsoft.com/office/drawing/2014/main" id="{0926E3F2-FE52-453E-AE80-1A07E5046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11206</xdr:colOff>
      <xdr:row>25</xdr:row>
      <xdr:rowOff>78441</xdr:rowOff>
    </xdr:from>
    <xdr:to>
      <xdr:col>8</xdr:col>
      <xdr:colOff>560295</xdr:colOff>
      <xdr:row>40</xdr:row>
      <xdr:rowOff>142399</xdr:rowOff>
    </xdr:to>
    <xdr:graphicFrame macro="">
      <xdr:nvGraphicFramePr>
        <xdr:cNvPr id="9" name="Chart 8">
          <a:extLst>
            <a:ext uri="{FF2B5EF4-FFF2-40B4-BE49-F238E27FC236}">
              <a16:creationId xmlns:a16="http://schemas.microsoft.com/office/drawing/2014/main" id="{6A15A1FF-0231-495E-AC69-BAA1E3F38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257735</xdr:colOff>
      <xdr:row>9</xdr:row>
      <xdr:rowOff>22412</xdr:rowOff>
    </xdr:from>
    <xdr:to>
      <xdr:col>23</xdr:col>
      <xdr:colOff>224117</xdr:colOff>
      <xdr:row>23</xdr:row>
      <xdr:rowOff>173803</xdr:rowOff>
    </xdr:to>
    <mc:AlternateContent xmlns:mc="http://schemas.openxmlformats.org/markup-compatibility/2006">
      <mc:Choice xmlns:a14="http://schemas.microsoft.com/office/drawing/2010/main" Requires="a14">
        <xdr:graphicFrame macro="">
          <xdr:nvGraphicFramePr>
            <xdr:cNvPr id="11" name="Team_Name">
              <a:extLst>
                <a:ext uri="{FF2B5EF4-FFF2-40B4-BE49-F238E27FC236}">
                  <a16:creationId xmlns:a16="http://schemas.microsoft.com/office/drawing/2014/main" id="{9A38A88C-57A5-64FB-2A1C-C169B32D8C02}"/>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dr:sp macro="" textlink="">
          <xdr:nvSpPr>
            <xdr:cNvPr id="0" name=""/>
            <xdr:cNvSpPr>
              <a:spLocks noTextEdit="1"/>
            </xdr:cNvSpPr>
          </xdr:nvSpPr>
          <xdr:spPr>
            <a:xfrm>
              <a:off x="11754970" y="1636059"/>
              <a:ext cx="2386853" cy="2661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302560</xdr:colOff>
      <xdr:row>25</xdr:row>
      <xdr:rowOff>46617</xdr:rowOff>
    </xdr:from>
    <xdr:to>
      <xdr:col>23</xdr:col>
      <xdr:colOff>268941</xdr:colOff>
      <xdr:row>41</xdr:row>
      <xdr:rowOff>11206</xdr:rowOff>
    </xdr:to>
    <mc:AlternateContent xmlns:mc="http://schemas.openxmlformats.org/markup-compatibility/2006">
      <mc:Choice xmlns:a14="http://schemas.microsoft.com/office/drawing/2010/main" Requires="a14">
        <xdr:graphicFrame macro="">
          <xdr:nvGraphicFramePr>
            <xdr:cNvPr id="12" name="Venue_Name">
              <a:extLst>
                <a:ext uri="{FF2B5EF4-FFF2-40B4-BE49-F238E27FC236}">
                  <a16:creationId xmlns:a16="http://schemas.microsoft.com/office/drawing/2014/main" id="{A215B5EA-689B-5E1D-2E6B-58662B3DE1F0}"/>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dr:sp macro="" textlink="">
          <xdr:nvSpPr>
            <xdr:cNvPr id="0" name=""/>
            <xdr:cNvSpPr>
              <a:spLocks noTextEdit="1"/>
            </xdr:cNvSpPr>
          </xdr:nvSpPr>
          <xdr:spPr>
            <a:xfrm>
              <a:off x="11799795" y="4528970"/>
              <a:ext cx="2386852" cy="2833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56029</xdr:colOff>
      <xdr:row>2</xdr:row>
      <xdr:rowOff>11207</xdr:rowOff>
    </xdr:from>
    <xdr:to>
      <xdr:col>5</xdr:col>
      <xdr:colOff>22411</xdr:colOff>
      <xdr:row>8</xdr:row>
      <xdr:rowOff>33619</xdr:rowOff>
    </xdr:to>
    <xdr:pic>
      <xdr:nvPicPr>
        <xdr:cNvPr id="13" name="Picture 12">
          <a:extLst>
            <a:ext uri="{FF2B5EF4-FFF2-40B4-BE49-F238E27FC236}">
              <a16:creationId xmlns:a16="http://schemas.microsoft.com/office/drawing/2014/main" id="{30E3D0A9-09CA-31E8-F717-DAD036CF543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6029" y="369795"/>
          <a:ext cx="2991970" cy="1098177"/>
        </a:xfrm>
        <a:prstGeom prst="rect">
          <a:avLst/>
        </a:prstGeom>
        <a:solidFill>
          <a:schemeClr val="bg2">
            <a:lumMod val="25000"/>
          </a:schemeClr>
        </a:solidFill>
      </xdr:spPr>
    </xdr:pic>
    <xdr:clientData/>
  </xdr:twoCellAnchor>
  <xdr:twoCellAnchor>
    <xdr:from>
      <xdr:col>6</xdr:col>
      <xdr:colOff>11206</xdr:colOff>
      <xdr:row>2</xdr:row>
      <xdr:rowOff>112058</xdr:rowOff>
    </xdr:from>
    <xdr:to>
      <xdr:col>9</xdr:col>
      <xdr:colOff>22412</xdr:colOff>
      <xdr:row>8</xdr:row>
      <xdr:rowOff>11204</xdr:rowOff>
    </xdr:to>
    <xdr:sp macro="" textlink="">
      <xdr:nvSpPr>
        <xdr:cNvPr id="14" name="Rectangle 13">
          <a:extLst>
            <a:ext uri="{FF2B5EF4-FFF2-40B4-BE49-F238E27FC236}">
              <a16:creationId xmlns:a16="http://schemas.microsoft.com/office/drawing/2014/main" id="{F816EC17-4AF7-0958-7624-3A9ED136911A}"/>
            </a:ext>
          </a:extLst>
        </xdr:cNvPr>
        <xdr:cNvSpPr/>
      </xdr:nvSpPr>
      <xdr:spPr>
        <a:xfrm>
          <a:off x="3641912" y="470646"/>
          <a:ext cx="1826559" cy="97491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24</xdr:col>
      <xdr:colOff>358588</xdr:colOff>
      <xdr:row>5</xdr:row>
      <xdr:rowOff>123264</xdr:rowOff>
    </xdr:from>
    <xdr:ext cx="2263588" cy="560294"/>
    <xdr:sp macro="" textlink="">
      <xdr:nvSpPr>
        <xdr:cNvPr id="18" name="TextBox 17">
          <a:extLst>
            <a:ext uri="{FF2B5EF4-FFF2-40B4-BE49-F238E27FC236}">
              <a16:creationId xmlns:a16="http://schemas.microsoft.com/office/drawing/2014/main" id="{2B5E854F-975C-0D38-030B-1DDF7BFDAC69}"/>
            </a:ext>
          </a:extLst>
        </xdr:cNvPr>
        <xdr:cNvSpPr txBox="1"/>
      </xdr:nvSpPr>
      <xdr:spPr>
        <a:xfrm>
          <a:off x="14881412" y="1019735"/>
          <a:ext cx="2263588" cy="560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2800"/>
        </a:p>
      </xdr:txBody>
    </xdr:sp>
    <xdr:clientData/>
  </xdr:oneCellAnchor>
  <xdr:twoCellAnchor editAs="oneCell">
    <xdr:from>
      <xdr:col>6</xdr:col>
      <xdr:colOff>44821</xdr:colOff>
      <xdr:row>2</xdr:row>
      <xdr:rowOff>78442</xdr:rowOff>
    </xdr:from>
    <xdr:to>
      <xdr:col>9</xdr:col>
      <xdr:colOff>22411</xdr:colOff>
      <xdr:row>5</xdr:row>
      <xdr:rowOff>135383</xdr:rowOff>
    </xdr:to>
    <xdr:pic>
      <xdr:nvPicPr>
        <xdr:cNvPr id="21" name="Picture 20">
          <a:extLst>
            <a:ext uri="{FF2B5EF4-FFF2-40B4-BE49-F238E27FC236}">
              <a16:creationId xmlns:a16="http://schemas.microsoft.com/office/drawing/2014/main" id="{711403E2-C8B2-4486-D563-108897305167}"/>
            </a:ext>
          </a:extLst>
        </xdr:cNvPr>
        <xdr:cNvPicPr>
          <a:picLocks noChangeAspect="1"/>
        </xdr:cNvPicPr>
      </xdr:nvPicPr>
      <xdr:blipFill>
        <a:blip xmlns:r="http://schemas.openxmlformats.org/officeDocument/2006/relationships" r:embed="rId6"/>
        <a:stretch>
          <a:fillRect/>
        </a:stretch>
      </xdr:blipFill>
      <xdr:spPr>
        <a:xfrm>
          <a:off x="3675527" y="437030"/>
          <a:ext cx="1792943" cy="594824"/>
        </a:xfrm>
        <a:prstGeom prst="rect">
          <a:avLst/>
        </a:prstGeom>
      </xdr:spPr>
    </xdr:pic>
    <xdr:clientData/>
  </xdr:twoCellAnchor>
  <xdr:twoCellAnchor>
    <xdr:from>
      <xdr:col>11</xdr:col>
      <xdr:colOff>11206</xdr:colOff>
      <xdr:row>2</xdr:row>
      <xdr:rowOff>112058</xdr:rowOff>
    </xdr:from>
    <xdr:to>
      <xdr:col>14</xdr:col>
      <xdr:colOff>22412</xdr:colOff>
      <xdr:row>8</xdr:row>
      <xdr:rowOff>11204</xdr:rowOff>
    </xdr:to>
    <xdr:sp macro="" textlink="">
      <xdr:nvSpPr>
        <xdr:cNvPr id="24" name="Rectangle 23">
          <a:extLst>
            <a:ext uri="{FF2B5EF4-FFF2-40B4-BE49-F238E27FC236}">
              <a16:creationId xmlns:a16="http://schemas.microsoft.com/office/drawing/2014/main" id="{CC2C96DD-C63D-46B1-A3EC-E97729C9E060}"/>
            </a:ext>
          </a:extLst>
        </xdr:cNvPr>
        <xdr:cNvSpPr/>
      </xdr:nvSpPr>
      <xdr:spPr>
        <a:xfrm>
          <a:off x="3641912" y="470646"/>
          <a:ext cx="1826559" cy="97491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22412</xdr:colOff>
      <xdr:row>2</xdr:row>
      <xdr:rowOff>67235</xdr:rowOff>
    </xdr:from>
    <xdr:to>
      <xdr:col>19</xdr:col>
      <xdr:colOff>33618</xdr:colOff>
      <xdr:row>7</xdr:row>
      <xdr:rowOff>145675</xdr:rowOff>
    </xdr:to>
    <xdr:sp macro="" textlink="">
      <xdr:nvSpPr>
        <xdr:cNvPr id="26" name="Rectangle 25">
          <a:extLst>
            <a:ext uri="{FF2B5EF4-FFF2-40B4-BE49-F238E27FC236}">
              <a16:creationId xmlns:a16="http://schemas.microsoft.com/office/drawing/2014/main" id="{16520179-AAD1-4855-99C4-A0E77380226B}"/>
            </a:ext>
          </a:extLst>
        </xdr:cNvPr>
        <xdr:cNvSpPr/>
      </xdr:nvSpPr>
      <xdr:spPr>
        <a:xfrm>
          <a:off x="9704294" y="425823"/>
          <a:ext cx="1826559" cy="97491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179296</xdr:colOff>
      <xdr:row>2</xdr:row>
      <xdr:rowOff>100852</xdr:rowOff>
    </xdr:from>
    <xdr:to>
      <xdr:col>23</xdr:col>
      <xdr:colOff>190502</xdr:colOff>
      <xdr:row>7</xdr:row>
      <xdr:rowOff>179292</xdr:rowOff>
    </xdr:to>
    <xdr:sp macro="" textlink="">
      <xdr:nvSpPr>
        <xdr:cNvPr id="35" name="Rectangle 34">
          <a:extLst>
            <a:ext uri="{FF2B5EF4-FFF2-40B4-BE49-F238E27FC236}">
              <a16:creationId xmlns:a16="http://schemas.microsoft.com/office/drawing/2014/main" id="{382DCEF3-4A2B-43B3-88A1-6ACED1E92295}"/>
            </a:ext>
          </a:extLst>
        </xdr:cNvPr>
        <xdr:cNvSpPr/>
      </xdr:nvSpPr>
      <xdr:spPr>
        <a:xfrm>
          <a:off x="12281649" y="459440"/>
          <a:ext cx="1826559" cy="97491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172357</xdr:rowOff>
    </xdr:from>
    <xdr:to>
      <xdr:col>9</xdr:col>
      <xdr:colOff>10886</xdr:colOff>
      <xdr:row>32</xdr:row>
      <xdr:rowOff>7829</xdr:rowOff>
    </xdr:to>
    <xdr:graphicFrame macro="">
      <xdr:nvGraphicFramePr>
        <xdr:cNvPr id="2" name="Chart 1">
          <a:extLst>
            <a:ext uri="{FF2B5EF4-FFF2-40B4-BE49-F238E27FC236}">
              <a16:creationId xmlns:a16="http://schemas.microsoft.com/office/drawing/2014/main" id="{BF18C977-E943-4EAA-8DF3-35D4C4165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32657</xdr:colOff>
      <xdr:row>17</xdr:row>
      <xdr:rowOff>10887</xdr:rowOff>
    </xdr:from>
    <xdr:to>
      <xdr:col>18</xdr:col>
      <xdr:colOff>10886</xdr:colOff>
      <xdr:row>32</xdr:row>
      <xdr:rowOff>32657</xdr:rowOff>
    </xdr:to>
    <xdr:graphicFrame macro="">
      <xdr:nvGraphicFramePr>
        <xdr:cNvPr id="3" name="Chart 2">
          <a:extLst>
            <a:ext uri="{FF2B5EF4-FFF2-40B4-BE49-F238E27FC236}">
              <a16:creationId xmlns:a16="http://schemas.microsoft.com/office/drawing/2014/main" id="{FD7D57F8-0033-43CC-BEBE-BB1FEDACF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32657</xdr:colOff>
      <xdr:row>29</xdr:row>
      <xdr:rowOff>43543</xdr:rowOff>
    </xdr:from>
    <xdr:to>
      <xdr:col>23</xdr:col>
      <xdr:colOff>76200</xdr:colOff>
      <xdr:row>47</xdr:row>
      <xdr:rowOff>174173</xdr:rowOff>
    </xdr:to>
    <xdr:graphicFrame macro="">
      <xdr:nvGraphicFramePr>
        <xdr:cNvPr id="4" name="Chart 3">
          <a:extLst>
            <a:ext uri="{FF2B5EF4-FFF2-40B4-BE49-F238E27FC236}">
              <a16:creationId xmlns:a16="http://schemas.microsoft.com/office/drawing/2014/main" id="{800C2798-010E-4889-AF10-7F15F7E8D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21771</xdr:rowOff>
    </xdr:from>
    <xdr:to>
      <xdr:col>17</xdr:col>
      <xdr:colOff>598714</xdr:colOff>
      <xdr:row>48</xdr:row>
      <xdr:rowOff>42300</xdr:rowOff>
    </xdr:to>
    <xdr:graphicFrame macro="">
      <xdr:nvGraphicFramePr>
        <xdr:cNvPr id="5" name="Chart 4">
          <a:extLst>
            <a:ext uri="{FF2B5EF4-FFF2-40B4-BE49-F238E27FC236}">
              <a16:creationId xmlns:a16="http://schemas.microsoft.com/office/drawing/2014/main" id="{BC35C0B5-58B8-412C-BFEE-5EA59A441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598714</xdr:colOff>
      <xdr:row>7</xdr:row>
      <xdr:rowOff>152399</xdr:rowOff>
    </xdr:from>
    <xdr:to>
      <xdr:col>21</xdr:col>
      <xdr:colOff>547166</xdr:colOff>
      <xdr:row>29</xdr:row>
      <xdr:rowOff>21771</xdr:rowOff>
    </xdr:to>
    <mc:AlternateContent xmlns:mc="http://schemas.openxmlformats.org/markup-compatibility/2006">
      <mc:Choice xmlns:a14="http://schemas.microsoft.com/office/drawing/2010/main" Requires="a14">
        <xdr:graphicFrame macro="">
          <xdr:nvGraphicFramePr>
            <xdr:cNvPr id="7" name="Venue_Name 1">
              <a:extLst>
                <a:ext uri="{FF2B5EF4-FFF2-40B4-BE49-F238E27FC236}">
                  <a16:creationId xmlns:a16="http://schemas.microsoft.com/office/drawing/2014/main" id="{95E129E2-24A7-47F5-8DFD-43278752FE66}"/>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dr:sp macro="" textlink="">
          <xdr:nvSpPr>
            <xdr:cNvPr id="0" name=""/>
            <xdr:cNvSpPr>
              <a:spLocks noTextEdit="1"/>
            </xdr:cNvSpPr>
          </xdr:nvSpPr>
          <xdr:spPr>
            <a:xfrm>
              <a:off x="10961914" y="1447799"/>
              <a:ext cx="2386852" cy="3984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xdr:colOff>
      <xdr:row>9</xdr:row>
      <xdr:rowOff>76200</xdr:rowOff>
    </xdr:from>
    <xdr:to>
      <xdr:col>4</xdr:col>
      <xdr:colOff>575341</xdr:colOff>
      <xdr:row>15</xdr:row>
      <xdr:rowOff>64034</xdr:rowOff>
    </xdr:to>
    <xdr:pic>
      <xdr:nvPicPr>
        <xdr:cNvPr id="8" name="Picture 7">
          <a:extLst>
            <a:ext uri="{FF2B5EF4-FFF2-40B4-BE49-F238E27FC236}">
              <a16:creationId xmlns:a16="http://schemas.microsoft.com/office/drawing/2014/main" id="{30388F14-5BB8-4F1E-8E28-AA36D01045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1771" y="1741714"/>
          <a:ext cx="2991970" cy="1098177"/>
        </a:xfrm>
        <a:prstGeom prst="rect">
          <a:avLst/>
        </a:prstGeom>
        <a:solidFill>
          <a:schemeClr val="bg2">
            <a:lumMod val="25000"/>
          </a:schemeClr>
        </a:solidFill>
      </xdr:spPr>
    </xdr:pic>
    <xdr:clientData/>
  </xdr:twoCellAnchor>
  <xdr:twoCellAnchor>
    <xdr:from>
      <xdr:col>5</xdr:col>
      <xdr:colOff>587829</xdr:colOff>
      <xdr:row>9</xdr:row>
      <xdr:rowOff>32658</xdr:rowOff>
    </xdr:from>
    <xdr:to>
      <xdr:col>9</xdr:col>
      <xdr:colOff>587829</xdr:colOff>
      <xdr:row>15</xdr:row>
      <xdr:rowOff>169369</xdr:rowOff>
    </xdr:to>
    <xdr:sp macro="" textlink="">
      <xdr:nvSpPr>
        <xdr:cNvPr id="9" name="Rectangle 8">
          <a:extLst>
            <a:ext uri="{FF2B5EF4-FFF2-40B4-BE49-F238E27FC236}">
              <a16:creationId xmlns:a16="http://schemas.microsoft.com/office/drawing/2014/main" id="{2561954D-C544-4373-894B-3D6EACEBF683}"/>
            </a:ext>
          </a:extLst>
        </xdr:cNvPr>
        <xdr:cNvSpPr/>
      </xdr:nvSpPr>
      <xdr:spPr>
        <a:xfrm>
          <a:off x="3635829" y="1698172"/>
          <a:ext cx="2438400" cy="124705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598715</xdr:colOff>
      <xdr:row>9</xdr:row>
      <xdr:rowOff>10888</xdr:rowOff>
    </xdr:from>
    <xdr:to>
      <xdr:col>14</xdr:col>
      <xdr:colOff>587830</xdr:colOff>
      <xdr:row>15</xdr:row>
      <xdr:rowOff>163286</xdr:rowOff>
    </xdr:to>
    <xdr:sp macro="" textlink="">
      <xdr:nvSpPr>
        <xdr:cNvPr id="11" name="Rectangle 10">
          <a:extLst>
            <a:ext uri="{FF2B5EF4-FFF2-40B4-BE49-F238E27FC236}">
              <a16:creationId xmlns:a16="http://schemas.microsoft.com/office/drawing/2014/main" id="{567726EA-908B-FFE6-8D6A-DF06EDEA7BD0}"/>
            </a:ext>
          </a:extLst>
        </xdr:cNvPr>
        <xdr:cNvSpPr/>
      </xdr:nvSpPr>
      <xdr:spPr>
        <a:xfrm>
          <a:off x="6694715" y="1676402"/>
          <a:ext cx="2427515" cy="12627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21771</xdr:colOff>
      <xdr:row>17</xdr:row>
      <xdr:rowOff>152401</xdr:rowOff>
    </xdr:from>
    <xdr:to>
      <xdr:col>6</xdr:col>
      <xdr:colOff>576943</xdr:colOff>
      <xdr:row>28</xdr:row>
      <xdr:rowOff>32657</xdr:rowOff>
    </xdr:to>
    <xdr:graphicFrame macro="">
      <xdr:nvGraphicFramePr>
        <xdr:cNvPr id="2" name="Chart 1">
          <a:extLst>
            <a:ext uri="{FF2B5EF4-FFF2-40B4-BE49-F238E27FC236}">
              <a16:creationId xmlns:a16="http://schemas.microsoft.com/office/drawing/2014/main" id="{F1507CE1-A59D-0C3B-59A5-AB4CA0595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10885</xdr:colOff>
      <xdr:row>34</xdr:row>
      <xdr:rowOff>119743</xdr:rowOff>
    </xdr:from>
    <xdr:to>
      <xdr:col>7</xdr:col>
      <xdr:colOff>43543</xdr:colOff>
      <xdr:row>44</xdr:row>
      <xdr:rowOff>163286</xdr:rowOff>
    </xdr:to>
    <xdr:graphicFrame macro="">
      <xdr:nvGraphicFramePr>
        <xdr:cNvPr id="3" name="Chart 2">
          <a:extLst>
            <a:ext uri="{FF2B5EF4-FFF2-40B4-BE49-F238E27FC236}">
              <a16:creationId xmlns:a16="http://schemas.microsoft.com/office/drawing/2014/main" id="{6DB757BF-7478-D074-5228-E0968E69C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299358</xdr:colOff>
      <xdr:row>23</xdr:row>
      <xdr:rowOff>21772</xdr:rowOff>
    </xdr:from>
    <xdr:to>
      <xdr:col>11</xdr:col>
      <xdr:colOff>283029</xdr:colOff>
      <xdr:row>33</xdr:row>
      <xdr:rowOff>43543</xdr:rowOff>
    </xdr:to>
    <xdr:graphicFrame macro="">
      <xdr:nvGraphicFramePr>
        <xdr:cNvPr id="4" name="Chart 3">
          <a:extLst>
            <a:ext uri="{FF2B5EF4-FFF2-40B4-BE49-F238E27FC236}">
              <a16:creationId xmlns:a16="http://schemas.microsoft.com/office/drawing/2014/main" id="{F3DE143D-0672-F2F8-30AD-B2290DDCB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1070740</xdr:colOff>
      <xdr:row>45</xdr:row>
      <xdr:rowOff>118241</xdr:rowOff>
    </xdr:from>
    <xdr:to>
      <xdr:col>10</xdr:col>
      <xdr:colOff>525516</xdr:colOff>
      <xdr:row>62</xdr:row>
      <xdr:rowOff>26276</xdr:rowOff>
    </xdr:to>
    <xdr:graphicFrame macro="">
      <xdr:nvGraphicFramePr>
        <xdr:cNvPr id="6" name="Chart 5">
          <a:extLst>
            <a:ext uri="{FF2B5EF4-FFF2-40B4-BE49-F238E27FC236}">
              <a16:creationId xmlns:a16="http://schemas.microsoft.com/office/drawing/2014/main" id="{98F2DA6E-C1E6-1307-6EF7-07BAC9BEE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674687</xdr:colOff>
      <xdr:row>11</xdr:row>
      <xdr:rowOff>65088</xdr:rowOff>
    </xdr:from>
    <xdr:to>
      <xdr:col>21</xdr:col>
      <xdr:colOff>134937</xdr:colOff>
      <xdr:row>26</xdr:row>
      <xdr:rowOff>69851</xdr:rowOff>
    </xdr:to>
    <xdr:graphicFrame macro="">
      <xdr:nvGraphicFramePr>
        <xdr:cNvPr id="2" name="Chart 1">
          <a:extLst>
            <a:ext uri="{FF2B5EF4-FFF2-40B4-BE49-F238E27FC236}">
              <a16:creationId xmlns:a16="http://schemas.microsoft.com/office/drawing/2014/main" id="{9388F600-0CEC-2B3C-ADCD-E11B1D457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54</xdr:row>
      <xdr:rowOff>168275</xdr:rowOff>
    </xdr:from>
    <xdr:to>
      <xdr:col>9</xdr:col>
      <xdr:colOff>936625</xdr:colOff>
      <xdr:row>69</xdr:row>
      <xdr:rowOff>173037</xdr:rowOff>
    </xdr:to>
    <xdr:graphicFrame macro="">
      <xdr:nvGraphicFramePr>
        <xdr:cNvPr id="3" name="Chart 2">
          <a:extLst>
            <a:ext uri="{FF2B5EF4-FFF2-40B4-BE49-F238E27FC236}">
              <a16:creationId xmlns:a16="http://schemas.microsoft.com/office/drawing/2014/main" id="{62D37D63-EC5D-2BE2-98FB-F29350672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349249</xdr:colOff>
      <xdr:row>92</xdr:row>
      <xdr:rowOff>128588</xdr:rowOff>
    </xdr:from>
    <xdr:to>
      <xdr:col>9</xdr:col>
      <xdr:colOff>674687</xdr:colOff>
      <xdr:row>107</xdr:row>
      <xdr:rowOff>133350</xdr:rowOff>
    </xdr:to>
    <xdr:graphicFrame macro="">
      <xdr:nvGraphicFramePr>
        <xdr:cNvPr id="4" name="Chart 3">
          <a:extLst>
            <a:ext uri="{FF2B5EF4-FFF2-40B4-BE49-F238E27FC236}">
              <a16:creationId xmlns:a16="http://schemas.microsoft.com/office/drawing/2014/main" id="{AA06F98C-BFF5-426D-9D40-0A8665D9A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387570</xdr:colOff>
      <xdr:row>52</xdr:row>
      <xdr:rowOff>47296</xdr:rowOff>
    </xdr:from>
    <xdr:to>
      <xdr:col>19</xdr:col>
      <xdr:colOff>308742</xdr:colOff>
      <xdr:row>67</xdr:row>
      <xdr:rowOff>31531</xdr:rowOff>
    </xdr:to>
    <xdr:graphicFrame macro="">
      <xdr:nvGraphicFramePr>
        <xdr:cNvPr id="5" name="Chart 4">
          <a:extLst>
            <a:ext uri="{FF2B5EF4-FFF2-40B4-BE49-F238E27FC236}">
              <a16:creationId xmlns:a16="http://schemas.microsoft.com/office/drawing/2014/main" id="{6962F9A3-8AE7-9EBF-0E9B-64B6D8C96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Sahu" refreshedDate="46302.591717708332" createdVersion="8" refreshedVersion="8" minRefreshableVersion="3" recordCount="60" xr:uid="{6084229A-B390-4D80-895A-F806D7B23C62}">
  <cacheSource type="worksheet">
    <worksheetSource name="fact_match"/>
  </cacheSource>
  <cacheFields count="14">
    <cacheField name="Match_ID" numFmtId="0">
      <sharedItems/>
    </cacheField>
    <cacheField name="Date" numFmtId="14">
      <sharedItems containsSemiMixedTypes="0" containsNonDate="0" containsDate="1" containsString="0" minDate="2025-03-22T00:00:00" maxDate="2025-05-20T00:00:00"/>
    </cacheField>
    <cacheField name="Venue_ID"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minValue="19.5"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0300925" backgroundQuery="1" createdVersion="8" refreshedVersion="8" minRefreshableVersion="3" recordCount="0" supportSubquery="1" supportAdvancedDrill="1" xr:uid="{521734E1-38DC-40BA-9DFD-377830AED3FD}">
  <cacheSource type="external" connectionId="6"/>
  <cacheFields count="2">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Economy]" caption="Sum of Economy" numFmtId="0" hierarchy="74" level="32767"/>
  </cacheFields>
  <cacheHierarchies count="78">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 Runs]" caption="Total Runs" attribute="1" defaultMemberUniqueName="[fact_match].[Total Runs].[All]" allUniqueName="[fact_match].[Total 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20" unbalanced="0"/>
    <cacheHierarchy uniqueName="[fact_player].[Overs_Bowled]" caption="Overs_Bowled" attribute="1" defaultMemberUniqueName="[fact_player].[Overs_Bowled].[All]" allUniqueName="[fact_player].[Overs_Bowled].[All]" dimensionUniqueName="[fact_player]" displayFolder="" count="2" memberValueDatatype="20"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111111" backgroundQuery="1" createdVersion="8" refreshedVersion="8" minRefreshableVersion="3" recordCount="0" supportSubquery="1" supportAdvancedDrill="1" xr:uid="{39BB5C8F-6271-413E-9331-3C14C1E0C68E}">
  <cacheSource type="external" connectionId="6"/>
  <cacheFields count="2">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Runs]" caption="Sum of Runs" numFmtId="0" hierarchy="69"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 Runs]" caption="Total Runs" attribute="1" defaultMemberUniqueName="[fact_match].[Total Runs].[All]" allUniqueName="[fact_match].[Total 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1805557" backgroundQuery="1" createdVersion="8" refreshedVersion="8" minRefreshableVersion="3" recordCount="0" supportSubquery="1" supportAdvancedDrill="1" xr:uid="{43B8DF58-57BC-4816-B552-CEDE4817CDC8}">
  <cacheSource type="external" connectionId="6"/>
  <cacheFields count="2">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Wickets]" caption="Sum of Wickets" numFmtId="0" hierarchy="71"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 Runs]" caption="Total Runs" attribute="1" defaultMemberUniqueName="[fact_match].[Total Runs].[All]" allUniqueName="[fact_match].[Total 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2615742" backgroundQuery="1" createdVersion="8" refreshedVersion="8" minRefreshableVersion="3" recordCount="0" supportSubquery="1" supportAdvancedDrill="1" xr:uid="{BB1CAD24-B22A-4A8C-BA5C-4151C00EB3A9}">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PlayerAverageStrikeRate]" caption="PlayerAverageStrikeRate" numFmtId="0" hierarchy="56" level="32767"/>
    <cacheField name="[Measures].[Sum of Strike_Rate]" caption="Sum of Strike_Rate" numFmtId="0" hierarchy="73"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 Runs]" caption="Total Runs" attribute="1" defaultMemberUniqueName="[fact_match].[Total Runs].[All]" allUniqueName="[fact_match].[Total 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1"/>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3194443" backgroundQuery="1" createdVersion="8" refreshedVersion="8" minRefreshableVersion="3" recordCount="0" supportSubquery="1" supportAdvancedDrill="1" xr:uid="{CB6C4F22-28C8-4557-B6CB-F6E24346056C}">
  <cacheSource type="external" connectionId="6"/>
  <cacheFields count="9">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owler"/>
      </sharedItems>
    </cacheField>
    <cacheField name="[dim_team].[Team_Name].[Team_Name]" caption="Team_Name" numFmtId="0" hierarchy="9" level="1">
      <sharedItems containsBlank="1" count="2">
        <s v="Rajasthan Royals (RR)"/>
        <m/>
      </sharedItems>
    </cacheField>
    <cacheField name="[Measures].[Sum of Runs]" caption="Sum of Runs" numFmtId="0" hierarchy="69" level="32767"/>
    <cacheField name="[Measures].[Sum of Balls_Faced]" caption="Sum of Balls_Faced" numFmtId="0" hierarchy="70" level="32767"/>
    <cacheField name="[Measures].[Sum of Wickets]" caption="Sum of Wickets" numFmtId="0" hierarchy="71" level="32767"/>
    <cacheField name="[Measures].[Sum of Runs_Conceded]" caption="Sum of Runs_Conceded" numFmtId="0" hierarchy="72" level="32767"/>
    <cacheField name="[Measures].[Sum of Strike_Rate]" caption="Sum of Strike_Rate" numFmtId="0" hierarchy="73" level="32767"/>
    <cacheField name="[Measures].[Sum of Economy]" caption="Sum of Economy" numFmtId="0" hierarchy="74"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 Runs]" caption="Total Runs" attribute="1" defaultMemberUniqueName="[fact_match].[Total Runs].[All]" allUniqueName="[fact_match].[Total 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3541666" backgroundQuery="1" createdVersion="8" refreshedVersion="8" minRefreshableVersion="3" recordCount="0" supportSubquery="1" supportAdvancedDrill="1" xr:uid="{320547CF-2AC3-4133-91FE-091014F682DD}">
  <cacheSource type="external" connectionId="6"/>
  <cacheFields count="2">
    <cacheField name="[fact_match].[Win_Type].[Win_Type]" caption="Win_Type" numFmtId="0" hierarchy="35" level="1">
      <sharedItems count="2">
        <s v="Win by Runs"/>
        <s v="Win by Wickets"/>
      </sharedItems>
    </cacheField>
    <cacheField name="[Measures].[Sum of Total Runs]" caption="Sum of Total Runs" numFmtId="0" hierarchy="75"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 Runs]" caption="Total Runs" attribute="1" defaultMemberUniqueName="[fact_match].[Total Runs].[All]" allUniqueName="[fact_match].[Total 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0"/>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3888889" backgroundQuery="1" createdVersion="8" refreshedVersion="8" minRefreshableVersion="3" recordCount="0" supportSubquery="1" supportAdvancedDrill="1" xr:uid="{16ED1887-31D2-454B-B976-728167B6F3BC}">
  <cacheSource type="external" connectionId="6"/>
  <cacheFields count="2">
    <cacheField name="[Measures].[Count of Team_ID]" caption="Count of Team_ID" numFmtId="0" hierarchy="77" level="32767"/>
    <cacheField name="[dim_venue].[Venue_Name].[Venue_Name]" caption="Venue_Name" numFmtId="0" hierarchy="16" level="1">
      <sharedItems containsBlank="1" count="11">
        <s v="Arun Jaitley Stadium"/>
        <s v="Bharat Ratna Shri Atal Bihari Vajpayee Ekana Cricket Stadium"/>
        <s v="Eden Gardens"/>
        <s v="M. A. Chidambaram Stadium"/>
        <s v="M. Chinnaswamy Stadium"/>
        <s v="Maharaja Yadavindra Singh Int. Cricket Stadium"/>
        <s v="Narendra Modi Stadium"/>
        <s v="Rajiv Gandhi Int. Stadium"/>
        <s v="Sawai Mansingh Stadium"/>
        <s v="Wankhede Stadium"/>
        <m/>
      </sharedItems>
    </cacheField>
  </cacheFields>
  <cacheHierarchies count="78">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1"/>
      </fieldsUsage>
    </cacheHierarchy>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 Runs]" caption="Total Runs" attribute="1" defaultMemberUniqueName="[fact_match].[Total Runs].[All]" allUniqueName="[fact_match].[Total 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20" unbalanced="0"/>
    <cacheHierarchy uniqueName="[fact_player].[Overs_Bowled]" caption="Overs_Bowled" attribute="1" defaultMemberUniqueName="[fact_player].[Overs_Bowled].[All]" allUniqueName="[fact_player].[Overs_Bowled].[All]" dimensionUniqueName="[fact_player]" displayFolder="" count="2" memberValueDatatype="20"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446759" backgroundQuery="1" createdVersion="8" refreshedVersion="8" minRefreshableVersion="3" recordCount="0" supportSubquery="1" supportAdvancedDrill="1" xr:uid="{C71AF45B-E77E-4395-9C00-627D78188063}">
  <cacheSource type="external" connectionId="6"/>
  <cacheFields count="5">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6" level="32767"/>
    <cacheField name="[Measures].[TeamWins]" caption="TeamWins" numFmtId="0" hierarchy="58" level="32767"/>
    <cacheField name="[Measures].[TotalRun]" caption="TotalRun" numFmtId="0" hierarchy="52" level="32767"/>
    <cacheField name="[Measures].[TotalWickets]" caption="TotalWickets" numFmtId="0" hierarchy="53"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 Runs]" caption="Total Runs" attribute="1" defaultMemberUniqueName="[fact_match].[Total Runs].[All]" allUniqueName="[fact_match].[Total 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TotalMatches]" caption="TotalMatches" measure="1" displayFolder="" measureGroup="fact_match" count="0"/>
    <cacheHierarchy uniqueName="[Measures].[TotalRun]" caption="TotalRun" measure="1" displayFolder="" measureGroup="fact_match" count="0" oneField="1">
      <fieldsUsage count="1">
        <fieldUsage x="3"/>
      </fieldsUsage>
    </cacheHierarchy>
    <cacheHierarchy uniqueName="[Measures].[TotalWickets]" caption="TotalWickets" measure="1" displayFolder="" measureGroup="fact_match" count="0" oneField="1">
      <fieldsUsage count="1">
        <fieldUsage x="4"/>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4814813" backgroundQuery="1" createdVersion="8" refreshedVersion="8" minRefreshableVersion="3" recordCount="0" supportSubquery="1" supportAdvancedDrill="1" xr:uid="{B8643C5F-A6B4-4D00-B117-63D8125FE1DB}">
  <cacheSource type="external" connectionId="6"/>
  <cacheFields count="2">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8" level="32767"/>
  </cacheFields>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 Runs]" caption="Total Runs" attribute="1" defaultMemberUniqueName="[fact_match].[Total Runs].[All]" allUniqueName="[fact_match].[Total 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550165162036" backgroundQuery="1" createdVersion="8" refreshedVersion="8" minRefreshableVersion="3" recordCount="0" supportSubquery="1" supportAdvancedDrill="1" xr:uid="{C515738A-B717-4F71-AA40-EC5E0214DCC1}">
  <cacheSource type="external" connectionId="6"/>
  <cacheFields count="2">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Sum of Total Runs]" caption="Sum of Total Runs" numFmtId="0" hierarchy="75" level="32767"/>
  </cacheFields>
  <cacheHierarchies count="78">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 Runs]" caption="Total Runs" attribute="1" defaultMemberUniqueName="[fact_match].[Total Runs].[All]" allUniqueName="[fact_match].[Total 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20" unbalanced="0"/>
    <cacheHierarchy uniqueName="[fact_player].[Overs_Bowled]" caption="Overs_Bowled" attribute="1" defaultMemberUniqueName="[fact_player].[Overs_Bowled].[All]" allUniqueName="[fact_player].[Overs_Bowled].[All]" dimensionUniqueName="[fact_player]" displayFolder="" count="2" memberValueDatatype="20"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Sahu" refreshedDate="46303.470949421295" backgroundQuery="1" createdVersion="3" refreshedVersion="8" minRefreshableVersion="3" recordCount="0" supportSubquery="1" supportAdvancedDrill="1" xr:uid="{C28572E4-3E5D-40B0-B567-C3E1C3028D1F}">
  <cacheSource type="external" connectionId="6">
    <extLst>
      <ext xmlns:x14="http://schemas.microsoft.com/office/spreadsheetml/2009/9/main" uri="{F057638F-6D5F-4e77-A914-E7F072B9BCA8}">
        <x14:sourceConnection name="ThisWorkbookDataModel"/>
      </ext>
    </extLst>
  </cacheSource>
  <cacheFields count="0"/>
  <cacheHierarchies count="78">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 Runs]" caption="Total Runs" attribute="1" defaultMemberUniqueName="[fact_match].[Total Runs].[All]" allUniqueName="[fact_match].[Total 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20" unbalanced="0"/>
    <cacheHierarchy uniqueName="[fact_player].[Overs_Bowled]" caption="Overs_Bowled" attribute="1" defaultMemberUniqueName="[fact_player].[Overs_Bowled].[All]" allUniqueName="[fact_player].[Overs_Bowled].[All]" dimensionUniqueName="[fact_player]" displayFolder="" count="0" memberValueDatatype="20"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20" unbalanced="0"/>
    <cacheHierarchy uniqueName="[Measures].[TotalMatches]" caption="TotalMatches" measure="1" displayFolder="" measureGroup="fact_match" count="0"/>
    <cacheHierarchy uniqueName="[Measures].[TotalRun]" caption="TotalRun"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 caption="Win %"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 Runs]" caption="Sum of Total Runs" measure="1" displayFolder="" measureGroup="fact_match" count="0" hidden="1">
      <extLst>
        <ext xmlns:x15="http://schemas.microsoft.com/office/spreadsheetml/2010/11/main" uri="{B97F6D7D-B522-45F9-BDA1-12C45D357490}">
          <x15:cacheHierarchy aggregatedColumn="33"/>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9753839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d v="2025-03-22T00:00:00"/>
    <s v="V02"/>
    <s v="T02"/>
    <s v="T03"/>
    <s v="T02"/>
    <s v="T02"/>
    <s v="P006"/>
    <n v="192"/>
    <n v="174"/>
    <n v="4"/>
    <n v="8"/>
    <n v="20"/>
    <n v="20"/>
  </r>
  <r>
    <s v="M002"/>
    <d v="2025-03-23T00:00:00"/>
    <s v="V08"/>
    <s v="T08"/>
    <s v="T05"/>
    <s v="T08"/>
    <s v="T08"/>
    <s v="P033"/>
    <n v="184"/>
    <n v="183"/>
    <n v="7"/>
    <n v="9"/>
    <n v="20"/>
    <n v="20"/>
  </r>
  <r>
    <s v="M003"/>
    <d v="2025-03-23T00:00:00"/>
    <s v="V04"/>
    <s v="T04"/>
    <s v="T07"/>
    <s v="T07"/>
    <s v="T04"/>
    <s v="P015"/>
    <n v="208"/>
    <n v="198"/>
    <n v="6"/>
    <n v="7"/>
    <n v="20"/>
    <n v="20"/>
  </r>
  <r>
    <s v="M004"/>
    <d v="2025-03-24T00:00:00"/>
    <s v="V06"/>
    <s v="T06"/>
    <s v="T01"/>
    <s v="T01"/>
    <s v="T06"/>
    <s v="P022"/>
    <n v="193"/>
    <n v="165"/>
    <n v="5"/>
    <n v="10"/>
    <n v="20"/>
    <n v="17.2"/>
  </r>
  <r>
    <s v="M005"/>
    <d v="2025-03-25T00:00:00"/>
    <s v="V03"/>
    <s v="T03"/>
    <s v="T06"/>
    <s v="T03"/>
    <s v="T06"/>
    <s v="P025"/>
    <n v="181"/>
    <n v="185"/>
    <n v="5"/>
    <n v="4"/>
    <n v="20"/>
    <n v="19.3"/>
  </r>
  <r>
    <s v="M006"/>
    <d v="2025-03-26T00:00:00"/>
    <s v="V05"/>
    <s v="T05"/>
    <s v="T04"/>
    <s v="T05"/>
    <s v="T04"/>
    <s v="P016"/>
    <n v="164"/>
    <n v="165"/>
    <n v="8"/>
    <n v="3"/>
    <n v="20"/>
    <n v="18.399999999999999"/>
  </r>
  <r>
    <s v="M007"/>
    <d v="2025-03-27T00:00:00"/>
    <s v="V02"/>
    <s v="T02"/>
    <s v="T07"/>
    <s v="T07"/>
    <s v="T02"/>
    <s v="P007"/>
    <n v="178"/>
    <n v="169"/>
    <n v="6"/>
    <n v="9"/>
    <n v="20"/>
    <n v="20"/>
  </r>
  <r>
    <s v="M008"/>
    <d v="2025-03-28T00:00:00"/>
    <s v="V01"/>
    <s v="T01"/>
    <s v="T08"/>
    <s v="T01"/>
    <s v="T08"/>
    <s v="P032"/>
    <n v="154"/>
    <n v="155"/>
    <n v="10"/>
    <n v="3"/>
    <n v="19.5"/>
    <n v="17"/>
  </r>
  <r>
    <s v="M009"/>
    <d v="2025-03-29T00:00:00"/>
    <s v="V04"/>
    <s v="T04"/>
    <s v="T03"/>
    <s v="T03"/>
    <s v="T04"/>
    <s v="P017"/>
    <n v="171"/>
    <n v="156"/>
    <n v="5"/>
    <n v="9"/>
    <n v="20"/>
    <n v="18.3"/>
  </r>
  <r>
    <s v="M010"/>
    <d v="2025-03-30T00:00:00"/>
    <s v="V06"/>
    <s v="T06"/>
    <s v="T05"/>
    <s v="T05"/>
    <s v="T05"/>
    <s v="P019"/>
    <n v="149"/>
    <n v="150"/>
    <n v="9"/>
    <n v="4"/>
    <n v="20"/>
    <n v="18.100000000000001"/>
  </r>
  <r>
    <s v="M011"/>
    <d v="2025-03-31T00:00:00"/>
    <s v="V07"/>
    <s v="T07"/>
    <s v="T01"/>
    <s v="T01"/>
    <s v="T07"/>
    <s v="P026"/>
    <n v="177"/>
    <n v="152"/>
    <n v="7"/>
    <n v="8"/>
    <n v="20"/>
    <n v="18.399999999999999"/>
  </r>
  <r>
    <s v="M012"/>
    <d v="2025-04-01T00:00:00"/>
    <s v="V08"/>
    <s v="T08"/>
    <s v="T02"/>
    <s v="T02"/>
    <s v="T02"/>
    <s v="P008"/>
    <n v="161"/>
    <n v="162"/>
    <n v="8"/>
    <n v="6"/>
    <n v="20"/>
    <n v="19.2"/>
  </r>
  <r>
    <s v="M013"/>
    <d v="2025-04-02T00:00:00"/>
    <s v="V03"/>
    <s v="T03"/>
    <s v="T05"/>
    <s v="T05"/>
    <s v="T03"/>
    <s v="P010"/>
    <n v="198"/>
    <n v="187"/>
    <n v="3"/>
    <n v="8"/>
    <n v="20"/>
    <n v="20"/>
  </r>
  <r>
    <s v="M014"/>
    <d v="2025-04-03T00:00:00"/>
    <s v="V01"/>
    <s v="T01"/>
    <s v="T06"/>
    <s v="T06"/>
    <s v="T01"/>
    <s v="P001"/>
    <n v="188"/>
    <n v="186"/>
    <n v="6"/>
    <n v="8"/>
    <n v="20"/>
    <n v="20"/>
  </r>
  <r>
    <s v="M015"/>
    <d v="2025-04-04T00:00:00"/>
    <s v="V04"/>
    <s v="T04"/>
    <s v="T08"/>
    <s v="T08"/>
    <s v="T08"/>
    <s v="P030"/>
    <n v="169"/>
    <n v="170"/>
    <n v="8"/>
    <n v="4"/>
    <n v="20"/>
    <n v="19.100000000000001"/>
  </r>
  <r>
    <s v="M016"/>
    <d v="2025-04-05T00:00:00"/>
    <s v="V05"/>
    <s v="T05"/>
    <s v="T07"/>
    <s v="T05"/>
    <s v="T07"/>
    <s v="P027"/>
    <n v="155"/>
    <n v="156"/>
    <n v="10"/>
    <n v="6"/>
    <n v="20"/>
    <n v="19.399999999999999"/>
  </r>
  <r>
    <s v="M017"/>
    <d v="2025-04-06T00:00:00"/>
    <s v="V02"/>
    <s v="T02"/>
    <s v="T01"/>
    <s v="T01"/>
    <s v="T02"/>
    <s v="P006"/>
    <n v="180"/>
    <n v="178"/>
    <n v="5"/>
    <n v="8"/>
    <n v="20"/>
    <n v="20"/>
  </r>
  <r>
    <s v="M018"/>
    <d v="2025-04-07T00:00:00"/>
    <s v="V03"/>
    <s v="T03"/>
    <s v="T08"/>
    <s v="T03"/>
    <s v="T03"/>
    <s v="P012"/>
    <n v="194"/>
    <n v="188"/>
    <n v="6"/>
    <n v="7"/>
    <n v="20"/>
    <n v="20"/>
  </r>
  <r>
    <s v="M019"/>
    <d v="2025-04-08T00:00:00"/>
    <s v="V06"/>
    <s v="T06"/>
    <s v="T04"/>
    <s v="T04"/>
    <s v="T06"/>
    <s v="P023"/>
    <n v="172"/>
    <n v="171"/>
    <n v="9"/>
    <n v="10"/>
    <n v="20"/>
    <n v="20"/>
  </r>
  <r>
    <s v="M020"/>
    <d v="2025-04-09T00:00:00"/>
    <s v="V07"/>
    <s v="T07"/>
    <s v="T05"/>
    <s v="T05"/>
    <s v="T05"/>
    <s v="P020"/>
    <n v="166"/>
    <n v="167"/>
    <n v="7"/>
    <n v="5"/>
    <n v="20"/>
    <n v="19.100000000000001"/>
  </r>
  <r>
    <s v="M021"/>
    <d v="2025-04-10T00:00:00"/>
    <s v="V01"/>
    <s v="T01"/>
    <s v="T04"/>
    <s v="T04"/>
    <s v="T01"/>
    <s v="P002"/>
    <n v="175"/>
    <n v="170"/>
    <n v="7"/>
    <n v="9"/>
    <n v="20"/>
    <n v="20"/>
  </r>
  <r>
    <s v="M022"/>
    <d v="2025-04-11T00:00:00"/>
    <s v="V08"/>
    <s v="T08"/>
    <s v="T06"/>
    <s v="T06"/>
    <s v="T08"/>
    <s v="P031"/>
    <n v="159"/>
    <n v="158"/>
    <n v="6"/>
    <n v="7"/>
    <n v="20"/>
    <n v="20"/>
  </r>
  <r>
    <s v="M023"/>
    <d v="2025-04-12T00:00:00"/>
    <s v="V02"/>
    <s v="T02"/>
    <s v="T03"/>
    <s v="T03"/>
    <s v="T03"/>
    <s v="P010"/>
    <n v="183"/>
    <n v="184"/>
    <n v="8"/>
    <n v="6"/>
    <n v="20"/>
    <n v="19.399999999999999"/>
  </r>
  <r>
    <s v="M024"/>
    <d v="2025-04-13T00:00:00"/>
    <s v="V05"/>
    <s v="T05"/>
    <s v="T01"/>
    <s v="T05"/>
    <s v="T01"/>
    <s v="P003"/>
    <n v="168"/>
    <n v="171"/>
    <n v="5"/>
    <n v="4"/>
    <n v="20"/>
    <n v="19.100000000000001"/>
  </r>
  <r>
    <s v="M025"/>
    <d v="2025-04-14T00:00:00"/>
    <s v="V07"/>
    <s v="T07"/>
    <s v="T08"/>
    <s v="T07"/>
    <s v="T08"/>
    <s v="P033"/>
    <n v="186"/>
    <n v="187"/>
    <n v="6"/>
    <n v="5"/>
    <n v="20"/>
    <n v="19.2"/>
  </r>
  <r>
    <s v="M026"/>
    <d v="2025-04-15T00:00:00"/>
    <s v="V04"/>
    <s v="T04"/>
    <s v="T02"/>
    <s v="T02"/>
    <s v="T02"/>
    <s v="P009"/>
    <n v="160"/>
    <n v="161"/>
    <n v="9"/>
    <n v="7"/>
    <n v="20"/>
    <n v="19.5"/>
  </r>
  <r>
    <s v="M027"/>
    <d v="2025-04-16T00:00:00"/>
    <s v="V06"/>
    <s v="T06"/>
    <s v="T03"/>
    <s v="T03"/>
    <s v="T06"/>
    <s v="P022"/>
    <n v="190"/>
    <n v="185"/>
    <n v="5"/>
    <n v="8"/>
    <n v="20"/>
    <n v="20"/>
  </r>
  <r>
    <s v="M028"/>
    <d v="2025-04-17T00:00:00"/>
    <s v="V01"/>
    <s v="T01"/>
    <s v="T05"/>
    <s v="T01"/>
    <s v="T01"/>
    <s v="P004"/>
    <n v="189"/>
    <n v="173"/>
    <n v="3"/>
    <n v="9"/>
    <n v="20"/>
    <n v="20"/>
  </r>
  <r>
    <s v="M029"/>
    <d v="2025-04-18T00:00:00"/>
    <s v="V08"/>
    <s v="T08"/>
    <s v="T07"/>
    <s v="T08"/>
    <s v="T07"/>
    <s v="P028"/>
    <n v="157"/>
    <n v="158"/>
    <n v="7"/>
    <n v="6"/>
    <n v="20"/>
    <n v="19.3"/>
  </r>
  <r>
    <s v="M030"/>
    <d v="2025-04-19T00:00:00"/>
    <s v="V02"/>
    <s v="T02"/>
    <s v="T04"/>
    <s v="T04"/>
    <s v="T04"/>
    <s v="P014"/>
    <n v="179"/>
    <n v="180"/>
    <n v="6"/>
    <n v="5"/>
    <n v="20"/>
    <n v="19.2"/>
  </r>
  <r>
    <s v="M031"/>
    <d v="2025-04-20T00:00:00"/>
    <s v="V03"/>
    <s v="T03"/>
    <s v="T01"/>
    <s v="T01"/>
    <s v="T03"/>
    <s v="P013"/>
    <n v="195"/>
    <n v="190"/>
    <n v="4"/>
    <n v="8"/>
    <n v="20"/>
    <n v="20"/>
  </r>
  <r>
    <s v="M032"/>
    <d v="2025-04-21T00:00:00"/>
    <s v="V05"/>
    <s v="T05"/>
    <s v="T06"/>
    <s v="T06"/>
    <s v="T05"/>
    <s v="P021"/>
    <n v="170"/>
    <n v="169"/>
    <n v="6"/>
    <n v="7"/>
    <n v="20"/>
    <n v="20"/>
  </r>
  <r>
    <s v="M033"/>
    <d v="2025-04-22T00:00:00"/>
    <s v="V07"/>
    <s v="T07"/>
    <s v="T02"/>
    <s v="T07"/>
    <s v="T07"/>
    <s v="P029"/>
    <n v="182"/>
    <n v="175"/>
    <n v="5"/>
    <n v="9"/>
    <n v="20"/>
    <n v="20"/>
  </r>
  <r>
    <s v="M034"/>
    <d v="2025-04-23T00:00:00"/>
    <s v="V04"/>
    <s v="T04"/>
    <s v="T05"/>
    <s v="T05"/>
    <s v="T04"/>
    <s v="P015"/>
    <n v="185"/>
    <n v="178"/>
    <n v="7"/>
    <n v="9"/>
    <n v="20"/>
    <n v="20"/>
  </r>
  <r>
    <s v="M035"/>
    <d v="2025-04-24T00:00:00"/>
    <s v="V08"/>
    <s v="T08"/>
    <s v="T03"/>
    <s v="T08"/>
    <s v="T08"/>
    <s v="P032"/>
    <n v="197"/>
    <n v="196"/>
    <n v="5"/>
    <n v="8"/>
    <n v="20"/>
    <n v="20"/>
  </r>
  <r>
    <s v="M036"/>
    <d v="2025-04-25T00:00:00"/>
    <s v="V01"/>
    <s v="T01"/>
    <s v="T07"/>
    <s v="T07"/>
    <s v="T01"/>
    <s v="P005"/>
    <n v="176"/>
    <n v="172"/>
    <n v="4"/>
    <n v="8"/>
    <n v="20"/>
    <n v="20"/>
  </r>
  <r>
    <s v="M037"/>
    <d v="2025-04-26T00:00:00"/>
    <s v="V06"/>
    <s v="T06"/>
    <s v="T08"/>
    <s v="T08"/>
    <s v="T06"/>
    <s v="P024"/>
    <n v="153"/>
    <n v="150"/>
    <n v="8"/>
    <n v="10"/>
    <n v="20"/>
    <n v="19.3"/>
  </r>
  <r>
    <s v="M038"/>
    <d v="2025-04-27T00:00:00"/>
    <s v="V02"/>
    <s v="T02"/>
    <s v="T05"/>
    <s v="T05"/>
    <s v="T02"/>
    <s v="P007"/>
    <n v="163"/>
    <n v="158"/>
    <n v="7"/>
    <n v="8"/>
    <n v="20"/>
    <n v="20"/>
  </r>
  <r>
    <s v="M039"/>
    <d v="2025-04-28T00:00:00"/>
    <s v="V03"/>
    <s v="T03"/>
    <s v="T04"/>
    <s v="T04"/>
    <s v="T03"/>
    <s v="P010"/>
    <n v="200"/>
    <n v="195"/>
    <n v="5"/>
    <n v="8"/>
    <n v="20"/>
    <n v="20"/>
  </r>
  <r>
    <s v="M040"/>
    <d v="2025-04-29T00:00:00"/>
    <s v="V07"/>
    <s v="T07"/>
    <s v="T06"/>
    <s v="T07"/>
    <s v="T06"/>
    <s v="P025"/>
    <n v="180"/>
    <n v="181"/>
    <n v="7"/>
    <n v="4"/>
    <n v="20"/>
    <n v="19.399999999999999"/>
  </r>
  <r>
    <s v="M041"/>
    <d v="2025-04-30T00:00:00"/>
    <s v="V08"/>
    <s v="T08"/>
    <s v="T01"/>
    <s v="T01"/>
    <s v="T08"/>
    <s v="P030"/>
    <n v="174"/>
    <n v="173"/>
    <n v="6"/>
    <n v="7"/>
    <n v="20"/>
    <n v="20"/>
  </r>
  <r>
    <s v="M042"/>
    <d v="2025-05-01T00:00:00"/>
    <s v="V05"/>
    <s v="T05"/>
    <s v="T02"/>
    <s v="T02"/>
    <s v="T05"/>
    <s v="P018"/>
    <n v="187"/>
    <n v="175"/>
    <n v="4"/>
    <n v="9"/>
    <n v="20"/>
    <n v="20"/>
  </r>
  <r>
    <s v="M043"/>
    <d v="2025-05-02T00:00:00"/>
    <s v="V01"/>
    <s v="T01"/>
    <s v="T03"/>
    <s v="T03"/>
    <s v="T03"/>
    <s v="P011"/>
    <n v="162"/>
    <n v="165"/>
    <n v="9"/>
    <n v="5"/>
    <n v="20"/>
    <n v="19.2"/>
  </r>
  <r>
    <s v="M044"/>
    <d v="2025-05-03T00:00:00"/>
    <s v="V04"/>
    <s v="T04"/>
    <s v="T06"/>
    <s v="T06"/>
    <s v="T04"/>
    <s v="P014"/>
    <n v="196"/>
    <n v="188"/>
    <n v="3"/>
    <n v="8"/>
    <n v="20"/>
    <n v="20"/>
  </r>
  <r>
    <s v="M045"/>
    <d v="2025-05-04T00:00:00"/>
    <s v="V08"/>
    <s v="T08"/>
    <s v="T05"/>
    <s v="T05"/>
    <s v="T08"/>
    <s v="P033"/>
    <n v="184"/>
    <n v="183"/>
    <n v="7"/>
    <n v="9"/>
    <n v="20"/>
    <n v="20"/>
  </r>
  <r>
    <s v="M046"/>
    <d v="2025-05-05T00:00:00"/>
    <s v="V02"/>
    <s v="T02"/>
    <s v="T06"/>
    <s v="T06"/>
    <s v="T02"/>
    <s v="P006"/>
    <n v="192"/>
    <n v="174"/>
    <n v="4"/>
    <n v="8"/>
    <n v="20"/>
    <n v="20"/>
  </r>
  <r>
    <s v="M047"/>
    <d v="2025-05-06T00:00:00"/>
    <s v="V07"/>
    <s v="T07"/>
    <s v="T04"/>
    <s v="T07"/>
    <s v="T04"/>
    <s v="P015"/>
    <n v="208"/>
    <n v="198"/>
    <n v="6"/>
    <n v="7"/>
    <n v="20"/>
    <n v="20"/>
  </r>
  <r>
    <s v="M048"/>
    <d v="2025-05-07T00:00:00"/>
    <s v="V03"/>
    <s v="T03"/>
    <s v="T01"/>
    <s v="T01"/>
    <s v="T06"/>
    <s v="P022"/>
    <n v="193"/>
    <n v="165"/>
    <n v="5"/>
    <n v="10"/>
    <n v="20"/>
    <n v="17.2"/>
  </r>
  <r>
    <s v="M049"/>
    <d v="2025-05-08T00:00:00"/>
    <s v="V05"/>
    <s v="T05"/>
    <s v="T03"/>
    <s v="T03"/>
    <s v="T06"/>
    <s v="P025"/>
    <n v="181"/>
    <n v="185"/>
    <n v="5"/>
    <n v="4"/>
    <n v="20"/>
    <n v="19.3"/>
  </r>
  <r>
    <s v="M050"/>
    <d v="2025-05-09T00:00:00"/>
    <s v="V06"/>
    <s v="T06"/>
    <s v="T02"/>
    <s v="T05"/>
    <s v="T04"/>
    <s v="P016"/>
    <n v="164"/>
    <n v="165"/>
    <n v="8"/>
    <n v="3"/>
    <n v="20"/>
    <n v="18.399999999999999"/>
  </r>
  <r>
    <s v="M051"/>
    <d v="2025-05-10T00:00:00"/>
    <s v="V01"/>
    <s v="T01"/>
    <s v="T02"/>
    <s v="T07"/>
    <s v="T02"/>
    <s v="P007"/>
    <n v="178"/>
    <n v="169"/>
    <n v="6"/>
    <n v="9"/>
    <n v="20"/>
    <n v="20"/>
  </r>
  <r>
    <s v="M052"/>
    <d v="2025-05-11T00:00:00"/>
    <s v="V04"/>
    <s v="T04"/>
    <s v="T08"/>
    <s v="T01"/>
    <s v="T08"/>
    <s v="P032"/>
    <n v="154"/>
    <n v="155"/>
    <n v="10"/>
    <n v="3"/>
    <n v="19.5"/>
    <n v="17"/>
  </r>
  <r>
    <s v="M053"/>
    <d v="2025-05-12T00:00:00"/>
    <s v="V08"/>
    <s v="T08"/>
    <s v="T03"/>
    <s v="T03"/>
    <s v="T04"/>
    <s v="P017"/>
    <n v="171"/>
    <n v="156"/>
    <n v="5"/>
    <n v="9"/>
    <n v="20"/>
    <n v="18.3"/>
  </r>
  <r>
    <s v="M054"/>
    <d v="2025-05-13T00:00:00"/>
    <s v="V07"/>
    <s v="T07"/>
    <s v="T05"/>
    <s v="T05"/>
    <s v="T05"/>
    <s v="P019"/>
    <n v="149"/>
    <n v="150"/>
    <n v="9"/>
    <n v="4"/>
    <n v="20"/>
    <n v="18.100000000000001"/>
  </r>
  <r>
    <s v="M055"/>
    <d v="2025-05-14T00:00:00"/>
    <s v="V03"/>
    <s v="T03"/>
    <s v="T06"/>
    <s v="T01"/>
    <s v="T07"/>
    <s v="P026"/>
    <n v="177"/>
    <n v="152"/>
    <n v="7"/>
    <n v="8"/>
    <n v="20"/>
    <n v="18.399999999999999"/>
  </r>
  <r>
    <s v="M056"/>
    <d v="2025-05-15T00:00:00"/>
    <s v="V01"/>
    <s v="T01"/>
    <s v="T04"/>
    <s v="T02"/>
    <s v="T02"/>
    <s v="P008"/>
    <n v="161"/>
    <n v="162"/>
    <n v="8"/>
    <n v="6"/>
    <n v="20"/>
    <n v="19.2"/>
  </r>
  <r>
    <s v="M057"/>
    <d v="2025-05-16T00:00:00"/>
    <s v="V02"/>
    <s v="T02"/>
    <s v="T08"/>
    <s v="T05"/>
    <s v="T03"/>
    <s v="P010"/>
    <n v="198"/>
    <n v="187"/>
    <n v="3"/>
    <n v="8"/>
    <n v="20"/>
    <n v="20"/>
  </r>
  <r>
    <s v="M058"/>
    <d v="2025-05-17T00:00:00"/>
    <s v="V05"/>
    <s v="T05"/>
    <s v="T06"/>
    <s v="T06"/>
    <s v="T01"/>
    <s v="P001"/>
    <n v="188"/>
    <n v="186"/>
    <n v="6"/>
    <n v="8"/>
    <n v="20"/>
    <n v="20"/>
  </r>
  <r>
    <s v="M059"/>
    <d v="2025-05-18T00:00:00"/>
    <s v="V04"/>
    <s v="T04"/>
    <s v="T07"/>
    <s v="T08"/>
    <s v="T08"/>
    <s v="P030"/>
    <n v="169"/>
    <n v="170"/>
    <n v="8"/>
    <n v="4"/>
    <n v="20"/>
    <n v="19.100000000000001"/>
  </r>
  <r>
    <s v="M060"/>
    <d v="2025-05-19T00:00:00"/>
    <s v="V06"/>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64DB53-2177-446E-BA98-01FE249F4C77}" name="PivotTable11" cacheId="861" applyNumberFormats="0" applyBorderFormats="0" applyFontFormats="0" applyPatternFormats="0" applyAlignmentFormats="0" applyWidthHeightFormats="1" dataCaption="Values" tag="f8e0a92b-e063-4ab3-bae5-07d5d8d54871" updatedVersion="8" minRefreshableVersion="3" useAutoFormatting="1" subtotalHiddenItems="1" itemPrintTitles="1" createdVersion="8" indent="0" outline="1" outlineData="1" multipleFieldFilters="0" chartFormat="21" rowHeaderCaption="Team Name">
  <location ref="A53:B65" firstHeaderRow="1" firstDataRow="1" firstDataCol="1"/>
  <pivotFields count="2">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2">
    <i>
      <x/>
    </i>
    <i>
      <x v="1"/>
    </i>
    <i>
      <x v="2"/>
    </i>
    <i>
      <x v="3"/>
    </i>
    <i>
      <x v="4"/>
    </i>
    <i>
      <x v="5"/>
    </i>
    <i>
      <x v="6"/>
    </i>
    <i>
      <x v="7"/>
    </i>
    <i>
      <x v="8"/>
    </i>
    <i>
      <x v="9"/>
    </i>
    <i>
      <x v="10"/>
    </i>
    <i t="grand">
      <x/>
    </i>
  </rowItems>
  <colItems count="1">
    <i/>
  </colItems>
  <dataFields count="1">
    <dataField name="Count of Team_ID" fld="0" subtotal="count" baseField="0" baseItem="0"/>
  </dataFields>
  <chartFormats count="2">
    <chartFormat chart="13"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CA6DB-2132-44CE-9E29-64CF7314B011}" name="PivotTable10" cacheId="858" applyNumberFormats="0" applyBorderFormats="0" applyFontFormats="0" applyPatternFormats="0" applyAlignmentFormats="0" applyWidthHeightFormats="1" dataCaption="Values" tag="f7d8c4e9-3d7b-4811-ac1c-ba1e76518da4" updatedVersion="8" minRefreshableVersion="3" useAutoFormatting="1" subtotalHiddenItems="1" itemPrintTitles="1" createdVersion="8" indent="0" outline="1" outlineData="1" multipleFieldFilters="0" chartFormat="18" rowHeaderCaption="Team Name">
  <location ref="I19:J2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Total Runs" fld="1" baseField="0" baseItem="0"/>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0"/>
          </reference>
        </references>
      </pivotArea>
    </chartFormat>
    <chartFormat chart="11" format="2">
      <pivotArea type="data" outline="0" fieldPosition="0">
        <references count="2">
          <reference field="4294967294" count="1" selected="0">
            <x v="0"/>
          </reference>
          <reference field="0"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caption="Total Runs"/>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6D7CBC-5B29-4B32-A457-569B52375FFD}" name="PivotTable7" cacheId="870" applyNumberFormats="0" applyBorderFormats="0" applyFontFormats="0" applyPatternFormats="0" applyAlignmentFormats="0" applyWidthHeightFormats="1" dataCaption="Values" tag="b6b3b691-d272-4c69-bf10-71b3be8a3c88" updatedVersion="8" minRefreshableVersion="3" useAutoFormatting="1" subtotalHiddenItems="1" itemPrintTitles="1" createdVersion="8" indent="0" outline="1" outlineData="1" multipleFieldFilters="0" chartFormat="15" rowHeaderCaption="Team Name">
  <location ref="A36:B45" firstHeaderRow="1" firstDataRow="1" firstDataCol="1"/>
  <pivotFields count="2">
    <pivotField axis="axisRow" allDrilled="1" subtotalTop="0" showAll="0" defaultSubtotal="0" defaultAttributeDrillState="1">
      <items count="8">
        <item x="6"/>
        <item x="0"/>
        <item x="1"/>
        <item x="2"/>
        <item x="3"/>
        <item x="4"/>
        <item x="5"/>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Total Runs" fld="1"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caption="Total Runs"/>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6C57B4-55C2-431C-A39F-7CD68F7F5AFB}" name="PivotTable6" cacheId="867" applyNumberFormats="0" applyBorderFormats="0" applyFontFormats="0" applyPatternFormats="0" applyAlignmentFormats="0" applyWidthHeightFormats="1" dataCaption="Values" tag="997d1583-0115-4a24-935a-73b854c13f46" updatedVersion="8" minRefreshableVersion="3" useAutoFormatting="1" subtotalHiddenItems="1" itemPrintTitles="1" createdVersion="8" indent="0" outline="1" outlineData="1" multipleFieldFilters="0" chartFormat="11" rowHeaderCaption="Team Name">
  <location ref="A19:B29" firstHeaderRow="1" firstDataRow="1" firstDataCol="1"/>
  <pivotFields count="2">
    <pivotField axis="axisRow" allDrilled="1" subtotalTop="0" showAll="0" defaultSubtotal="0" defaultAttributeDrillState="1">
      <items count="9">
        <item x="6"/>
        <item x="8"/>
        <item x="0"/>
        <item x="1"/>
        <item x="2"/>
        <item x="3"/>
        <item x="4"/>
        <item x="5"/>
        <item x="7"/>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Total Wins" fld="1"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EAE062-501C-4FA8-8B32-0394A8A809C5}" name="PivotTable4" cacheId="864" applyNumberFormats="0" applyBorderFormats="0" applyFontFormats="0" applyPatternFormats="0" applyAlignmentFormats="0" applyWidthHeightFormats="1" dataCaption="Values" tag="71f69fad-d0dd-4f77-855c-232273a65032" updatedVersion="8" minRefreshableVersion="3" useAutoFormatting="1" subtotalHiddenItems="1" itemPrintTitles="1" createdVersion="8" indent="0" outline="1" outlineData="1" multipleFieldFilters="0" rowHeaderCaption="Team Name">
  <location ref="A3:E13" firstHeaderRow="0"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Total Matches" fld="1" subtotal="count" baseField="0" baseItem="0"/>
    <dataField name="Total Wins" fld="2" subtotal="count" baseField="0" baseItem="0"/>
    <dataField name="Total Run" fld="3" subtotal="count" baseField="0" baseItem="0"/>
    <dataField name="Total Wickets" fld="4" subtotal="count" baseField="0" baseItem="0"/>
  </dataField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6FBCBB-3A69-4241-AA41-0EE05411690A}" name="PivotTable4" cacheId="843" applyNumberFormats="0" applyBorderFormats="0" applyFontFormats="0" applyPatternFormats="0" applyAlignmentFormats="0" applyWidthHeightFormats="1" dataCaption="Values" tag="9646be5d-de8d-4a97-8756-74ac2ffa59fb" updatedVersion="8" minRefreshableVersion="3" useAutoFormatting="1" subtotalHiddenItems="1" itemPrintTitles="1" createdVersion="8" indent="0" outline="1" outlineData="1" multipleFieldFilters="0" chartFormat="11" rowHeaderCaption="Player name">
  <location ref="L44:M78" firstHeaderRow="1" firstDataRow="1" firstDataCol="1"/>
  <pivotFields count="2">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conomy" fld="1" baseField="0" baseItem="0"/>
  </dataFields>
  <chartFormats count="35">
    <chartFormat chart="6" format="0" series="1">
      <pivotArea type="data" outline="0" fieldPosition="0">
        <references count="1">
          <reference field="4294967294" count="1" selected="0">
            <x v="0"/>
          </reference>
        </references>
      </pivotArea>
    </chartFormat>
    <chartFormat chart="10" format="35" series="1">
      <pivotArea type="data" outline="0" fieldPosition="0">
        <references count="1">
          <reference field="4294967294" count="1" selected="0">
            <x v="0"/>
          </reference>
        </references>
      </pivotArea>
    </chartFormat>
    <chartFormat chart="10" format="36">
      <pivotArea type="data" outline="0" fieldPosition="0">
        <references count="2">
          <reference field="4294967294" count="1" selected="0">
            <x v="0"/>
          </reference>
          <reference field="0" count="1" selected="0">
            <x v="0"/>
          </reference>
        </references>
      </pivotArea>
    </chartFormat>
    <chartFormat chart="10" format="37">
      <pivotArea type="data" outline="0" fieldPosition="0">
        <references count="2">
          <reference field="4294967294" count="1" selected="0">
            <x v="0"/>
          </reference>
          <reference field="0" count="1" selected="0">
            <x v="1"/>
          </reference>
        </references>
      </pivotArea>
    </chartFormat>
    <chartFormat chart="10" format="38">
      <pivotArea type="data" outline="0" fieldPosition="0">
        <references count="2">
          <reference field="4294967294" count="1" selected="0">
            <x v="0"/>
          </reference>
          <reference field="0" count="1" selected="0">
            <x v="2"/>
          </reference>
        </references>
      </pivotArea>
    </chartFormat>
    <chartFormat chart="10" format="39">
      <pivotArea type="data" outline="0" fieldPosition="0">
        <references count="2">
          <reference field="4294967294" count="1" selected="0">
            <x v="0"/>
          </reference>
          <reference field="0" count="1" selected="0">
            <x v="3"/>
          </reference>
        </references>
      </pivotArea>
    </chartFormat>
    <chartFormat chart="10" format="40">
      <pivotArea type="data" outline="0" fieldPosition="0">
        <references count="2">
          <reference field="4294967294" count="1" selected="0">
            <x v="0"/>
          </reference>
          <reference field="0" count="1" selected="0">
            <x v="4"/>
          </reference>
        </references>
      </pivotArea>
    </chartFormat>
    <chartFormat chart="10" format="41">
      <pivotArea type="data" outline="0" fieldPosition="0">
        <references count="2">
          <reference field="4294967294" count="1" selected="0">
            <x v="0"/>
          </reference>
          <reference field="0" count="1" selected="0">
            <x v="5"/>
          </reference>
        </references>
      </pivotArea>
    </chartFormat>
    <chartFormat chart="10" format="42">
      <pivotArea type="data" outline="0" fieldPosition="0">
        <references count="2">
          <reference field="4294967294" count="1" selected="0">
            <x v="0"/>
          </reference>
          <reference field="0" count="1" selected="0">
            <x v="6"/>
          </reference>
        </references>
      </pivotArea>
    </chartFormat>
    <chartFormat chart="10" format="43">
      <pivotArea type="data" outline="0" fieldPosition="0">
        <references count="2">
          <reference field="4294967294" count="1" selected="0">
            <x v="0"/>
          </reference>
          <reference field="0" count="1" selected="0">
            <x v="7"/>
          </reference>
        </references>
      </pivotArea>
    </chartFormat>
    <chartFormat chart="10" format="44">
      <pivotArea type="data" outline="0" fieldPosition="0">
        <references count="2">
          <reference field="4294967294" count="1" selected="0">
            <x v="0"/>
          </reference>
          <reference field="0" count="1" selected="0">
            <x v="8"/>
          </reference>
        </references>
      </pivotArea>
    </chartFormat>
    <chartFormat chart="10" format="45">
      <pivotArea type="data" outline="0" fieldPosition="0">
        <references count="2">
          <reference field="4294967294" count="1" selected="0">
            <x v="0"/>
          </reference>
          <reference field="0" count="1" selected="0">
            <x v="9"/>
          </reference>
        </references>
      </pivotArea>
    </chartFormat>
    <chartFormat chart="10" format="46">
      <pivotArea type="data" outline="0" fieldPosition="0">
        <references count="2">
          <reference field="4294967294" count="1" selected="0">
            <x v="0"/>
          </reference>
          <reference field="0" count="1" selected="0">
            <x v="10"/>
          </reference>
        </references>
      </pivotArea>
    </chartFormat>
    <chartFormat chart="10" format="47">
      <pivotArea type="data" outline="0" fieldPosition="0">
        <references count="2">
          <reference field="4294967294" count="1" selected="0">
            <x v="0"/>
          </reference>
          <reference field="0" count="1" selected="0">
            <x v="11"/>
          </reference>
        </references>
      </pivotArea>
    </chartFormat>
    <chartFormat chart="10" format="48">
      <pivotArea type="data" outline="0" fieldPosition="0">
        <references count="2">
          <reference field="4294967294" count="1" selected="0">
            <x v="0"/>
          </reference>
          <reference field="0" count="1" selected="0">
            <x v="12"/>
          </reference>
        </references>
      </pivotArea>
    </chartFormat>
    <chartFormat chart="10" format="49">
      <pivotArea type="data" outline="0" fieldPosition="0">
        <references count="2">
          <reference field="4294967294" count="1" selected="0">
            <x v="0"/>
          </reference>
          <reference field="0" count="1" selected="0">
            <x v="13"/>
          </reference>
        </references>
      </pivotArea>
    </chartFormat>
    <chartFormat chart="10" format="50">
      <pivotArea type="data" outline="0" fieldPosition="0">
        <references count="2">
          <reference field="4294967294" count="1" selected="0">
            <x v="0"/>
          </reference>
          <reference field="0" count="1" selected="0">
            <x v="14"/>
          </reference>
        </references>
      </pivotArea>
    </chartFormat>
    <chartFormat chart="10" format="51">
      <pivotArea type="data" outline="0" fieldPosition="0">
        <references count="2">
          <reference field="4294967294" count="1" selected="0">
            <x v="0"/>
          </reference>
          <reference field="0" count="1" selected="0">
            <x v="15"/>
          </reference>
        </references>
      </pivotArea>
    </chartFormat>
    <chartFormat chart="10" format="52">
      <pivotArea type="data" outline="0" fieldPosition="0">
        <references count="2">
          <reference field="4294967294" count="1" selected="0">
            <x v="0"/>
          </reference>
          <reference field="0" count="1" selected="0">
            <x v="16"/>
          </reference>
        </references>
      </pivotArea>
    </chartFormat>
    <chartFormat chart="10" format="53">
      <pivotArea type="data" outline="0" fieldPosition="0">
        <references count="2">
          <reference field="4294967294" count="1" selected="0">
            <x v="0"/>
          </reference>
          <reference field="0" count="1" selected="0">
            <x v="17"/>
          </reference>
        </references>
      </pivotArea>
    </chartFormat>
    <chartFormat chart="10" format="54">
      <pivotArea type="data" outline="0" fieldPosition="0">
        <references count="2">
          <reference field="4294967294" count="1" selected="0">
            <x v="0"/>
          </reference>
          <reference field="0" count="1" selected="0">
            <x v="18"/>
          </reference>
        </references>
      </pivotArea>
    </chartFormat>
    <chartFormat chart="10" format="55">
      <pivotArea type="data" outline="0" fieldPosition="0">
        <references count="2">
          <reference field="4294967294" count="1" selected="0">
            <x v="0"/>
          </reference>
          <reference field="0" count="1" selected="0">
            <x v="19"/>
          </reference>
        </references>
      </pivotArea>
    </chartFormat>
    <chartFormat chart="10" format="56">
      <pivotArea type="data" outline="0" fieldPosition="0">
        <references count="2">
          <reference field="4294967294" count="1" selected="0">
            <x v="0"/>
          </reference>
          <reference field="0" count="1" selected="0">
            <x v="20"/>
          </reference>
        </references>
      </pivotArea>
    </chartFormat>
    <chartFormat chart="10" format="57">
      <pivotArea type="data" outline="0" fieldPosition="0">
        <references count="2">
          <reference field="4294967294" count="1" selected="0">
            <x v="0"/>
          </reference>
          <reference field="0" count="1" selected="0">
            <x v="21"/>
          </reference>
        </references>
      </pivotArea>
    </chartFormat>
    <chartFormat chart="10" format="58">
      <pivotArea type="data" outline="0" fieldPosition="0">
        <references count="2">
          <reference field="4294967294" count="1" selected="0">
            <x v="0"/>
          </reference>
          <reference field="0" count="1" selected="0">
            <x v="22"/>
          </reference>
        </references>
      </pivotArea>
    </chartFormat>
    <chartFormat chart="10" format="59">
      <pivotArea type="data" outline="0" fieldPosition="0">
        <references count="2">
          <reference field="4294967294" count="1" selected="0">
            <x v="0"/>
          </reference>
          <reference field="0" count="1" selected="0">
            <x v="23"/>
          </reference>
        </references>
      </pivotArea>
    </chartFormat>
    <chartFormat chart="10" format="60">
      <pivotArea type="data" outline="0" fieldPosition="0">
        <references count="2">
          <reference field="4294967294" count="1" selected="0">
            <x v="0"/>
          </reference>
          <reference field="0" count="1" selected="0">
            <x v="24"/>
          </reference>
        </references>
      </pivotArea>
    </chartFormat>
    <chartFormat chart="10" format="61">
      <pivotArea type="data" outline="0" fieldPosition="0">
        <references count="2">
          <reference field="4294967294" count="1" selected="0">
            <x v="0"/>
          </reference>
          <reference field="0" count="1" selected="0">
            <x v="25"/>
          </reference>
        </references>
      </pivotArea>
    </chartFormat>
    <chartFormat chart="10" format="62">
      <pivotArea type="data" outline="0" fieldPosition="0">
        <references count="2">
          <reference field="4294967294" count="1" selected="0">
            <x v="0"/>
          </reference>
          <reference field="0" count="1" selected="0">
            <x v="26"/>
          </reference>
        </references>
      </pivotArea>
    </chartFormat>
    <chartFormat chart="10" format="63">
      <pivotArea type="data" outline="0" fieldPosition="0">
        <references count="2">
          <reference field="4294967294" count="1" selected="0">
            <x v="0"/>
          </reference>
          <reference field="0" count="1" selected="0">
            <x v="27"/>
          </reference>
        </references>
      </pivotArea>
    </chartFormat>
    <chartFormat chart="10" format="64">
      <pivotArea type="data" outline="0" fieldPosition="0">
        <references count="2">
          <reference field="4294967294" count="1" selected="0">
            <x v="0"/>
          </reference>
          <reference field="0" count="1" selected="0">
            <x v="28"/>
          </reference>
        </references>
      </pivotArea>
    </chartFormat>
    <chartFormat chart="10" format="65">
      <pivotArea type="data" outline="0" fieldPosition="0">
        <references count="2">
          <reference field="4294967294" count="1" selected="0">
            <x v="0"/>
          </reference>
          <reference field="0" count="1" selected="0">
            <x v="29"/>
          </reference>
        </references>
      </pivotArea>
    </chartFormat>
    <chartFormat chart="10" format="66">
      <pivotArea type="data" outline="0" fieldPosition="0">
        <references count="2">
          <reference field="4294967294" count="1" selected="0">
            <x v="0"/>
          </reference>
          <reference field="0" count="1" selected="0">
            <x v="30"/>
          </reference>
        </references>
      </pivotArea>
    </chartFormat>
    <chartFormat chart="10" format="67">
      <pivotArea type="data" outline="0" fieldPosition="0">
        <references count="2">
          <reference field="4294967294" count="1" selected="0">
            <x v="0"/>
          </reference>
          <reference field="0" count="1" selected="0">
            <x v="31"/>
          </reference>
        </references>
      </pivotArea>
    </chartFormat>
    <chartFormat chart="10" format="68">
      <pivotArea type="data" outline="0" fieldPosition="0">
        <references count="2">
          <reference field="4294967294" count="1" selected="0">
            <x v="0"/>
          </reference>
          <reference field="0" count="1" selected="0">
            <x v="32"/>
          </reference>
        </references>
      </pivotArea>
    </chartFormat>
  </chartFormat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CB2247-6CFA-49CB-9C12-2663F8340CEB}" name="PivotTable3" cacheId="852" applyNumberFormats="0" applyBorderFormats="0" applyFontFormats="0" applyPatternFormats="0" applyAlignmentFormats="0" applyWidthHeightFormats="1" dataCaption="Values" tag="9646be5d-de8d-4a97-8756-74ac2ffa59fb" updatedVersion="8" minRefreshableVersion="3" useAutoFormatting="1" subtotalHiddenItems="1" itemPrintTitles="1" createdVersion="8" indent="0" outline="1" outlineData="1" multipleFieldFilters="0" chartFormat="9" rowHeaderCaption="Player name">
  <location ref="A82:C116" firstHeaderRow="0" firstDataRow="1" firstDataCol="1"/>
  <pivotFields count="3">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 dataField="1" subtotalTop="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fld="1" subtotal="count" baseField="0" baseItem="0"/>
    <dataField name="Sum of Strike_Rate" fld="2"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8708DD-3D53-44A0-9CF8-3808C2B49D01}" name="PivotTable2" cacheId="849" applyNumberFormats="0" applyBorderFormats="0" applyFontFormats="0" applyPatternFormats="0" applyAlignmentFormats="0" applyWidthHeightFormats="1" dataCaption="Values" tag="9646be5d-de8d-4a97-8756-74ac2ffa59fb" updatedVersion="8" minRefreshableVersion="3" useAutoFormatting="1" subtotalHiddenItems="1" itemPrintTitles="1" createdVersion="8" indent="0" outline="1" outlineData="1" multipleFieldFilters="0" chartFormat="8" rowHeaderCaption="Player name">
  <location ref="A44:B78" firstHeaderRow="1" firstDataRow="1" firstDataCol="1"/>
  <pivotFields count="2">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Wicket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3DE769-F485-45B4-A35E-0A104809B066}" name="PivotTable1" cacheId="846" applyNumberFormats="0" applyBorderFormats="0" applyFontFormats="0" applyPatternFormats="0" applyAlignmentFormats="0" applyWidthHeightFormats="1" dataCaption="Values" tag="9646be5d-de8d-4a97-8756-74ac2ffa59fb" updatedVersion="8" minRefreshableVersion="3" useAutoFormatting="1" subtotalHiddenItems="1" itemPrintTitles="1" createdVersion="8" indent="0" outline="1" outlineData="1" multipleFieldFilters="0" chartFormat="9" rowHeaderCaption="Player Name">
  <location ref="J3:K37" firstHeaderRow="1" firstDataRow="1" firstDataCol="1"/>
  <pivotFields count="2">
    <pivotField axis="axisRow" allDrilled="1" subtotalTop="0" showAll="0" dataSourceSort="1" defaultSubtotal="0" defaultAttributeDrillState="1">
      <items count="33">
        <item x="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Runs" fld="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72AB7A-CCFB-44AB-8EFF-DDD653A32290}" name="PivotTable5" cacheId="855" applyNumberFormats="0" applyBorderFormats="0" applyFontFormats="0" applyPatternFormats="0" applyAlignmentFormats="0" applyWidthHeightFormats="1" dataCaption="Values" tag="9646be5d-de8d-4a97-8756-74ac2ffa59fb" updatedVersion="8" minRefreshableVersion="3" useAutoFormatting="1" subtotalHiddenItems="1" itemPrintTitles="1" createdVersion="8" indent="0" outline="1" outlineData="1" multipleFieldFilters="0" rowHeaderCaption="Player|Team|Role Name">
  <location ref="A3:G37" firstHeaderRow="0" firstDataRow="1" firstDataCol="1"/>
  <pivotFields count="9">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3">
    <field x="0"/>
    <field x="1"/>
    <field x="2"/>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 Conceded" fld="6" baseField="0" baseItem="0"/>
    <dataField name="Strike Rate" fld="7" baseField="0" baseItem="0"/>
    <dataField name="Economy" fld="8" baseField="0" baseItem="0"/>
  </dataFields>
  <pivotHierarchies count="7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3"/>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2DBFB5-8EB9-40CD-8437-37226705F8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F0038244-D211-454F-B31D-BBDEC9E954E4}"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58EC698D-8789-46F4-89A7-F2470E847BCF}"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43C6ED2-E151-48B2-8046-25C6669F91E1}"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BEF18F2D-04FB-44F2-9685-A47CCAD35EE3}"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DD2D23A0-DE37-4982-AC22-1D498E761D82}"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CEEDFA08-3728-4E27-90D3-B32A1005BEB2}" sourceName="[dim_team].[Team_Name]">
  <pivotTables>
    <pivotTable tabId="10" name="PivotTable7"/>
    <pivotTable tabId="11" name="PivotTable5"/>
    <pivotTable tabId="10" name="PivotTable10"/>
    <pivotTable tabId="10" name="PivotTable11"/>
    <pivotTable tabId="10" name="PivotTable4"/>
    <pivotTable tabId="10" name="PivotTable6"/>
    <pivotTable tabId="11" name="PivotTable1"/>
    <pivotTable tabId="11" name="PivotTable2"/>
    <pivotTable tabId="11" name="PivotTable3"/>
    <pivotTable tabId="11" name="PivotTable4"/>
  </pivotTables>
  <data>
    <olap pivotCacheId="975383918">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6F40EC61-A1EC-4B0A-8F2D-E902F5FF59E4}" sourceName="[dim_venue].[Venue_Name]">
  <pivotTables>
    <pivotTable tabId="10" name="PivotTable11"/>
    <pivotTable tabId="11" name="PivotTable5"/>
    <pivotTable tabId="10" name="PivotTable10"/>
    <pivotTable tabId="10" name="PivotTable4"/>
    <pivotTable tabId="10" name="PivotTable6"/>
    <pivotTable tabId="10" name="PivotTable7"/>
    <pivotTable tabId="11" name="PivotTable1"/>
    <pivotTable tabId="11" name="PivotTable2"/>
    <pivotTable tabId="11" name="PivotTable3"/>
    <pivotTable tabId="11" name="PivotTable4"/>
  </pivotTables>
  <data>
    <olap pivotCacheId="975383918">
      <levels count="2">
        <level uniqueName="[dim_venue].[Venue_Name].[(All)]" sourceCaption="(All)" count="0"/>
        <level uniqueName="[dim_venue].[Venue_Name].[Venue_Name]" sourceCaption="Venue_Name" count="11">
          <ranges>
            <range startItem="0">
              <i n="[dim_venue].[Venue_Name].&amp;[Arun Jaitley Stadium]" c="Arun Jaitley Stadium"/>
              <i n="[dim_venue].[Venue_Name].&amp;[Bharat Ratna Shri Atal Bihari Vajpayee Ekana Cricket Stadium]" c="Bharat Ratna Shri Atal Bihari Vajpayee Ekana Cricket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Narendra Modi Stadium]" c="Narendra Modi Stadium"/>
              <i n="[dim_venue].[Venue_Name].&amp;[Rajiv Gandhi Int. Stadium]" c="Rajiv Gandhi Int. Stadium"/>
              <i n="[dim_venue].[Venue_Name].&amp;[Sawai Mansingh Stadium]" c="Sawai Mansingh Stadium"/>
              <i n="[dim_venue].[Venue_Name].&amp;[Wankhede Stadium]" c="Wankhede Stadium"/>
              <i n="[dim_venue].[Venue_Name].&amp;" c="(blank)"/>
            </range>
          </ranges>
        </level>
      </levels>
      <selections count="1">
        <selection n="[dim_venue].[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4584D360-99D8-4153-A071-650348E35954}" cache="Slicer_Team_Name" caption="Team_Name" level="1" rowHeight="247650"/>
  <slicer name="Venue_Name" xr10:uid="{009A4F64-E2EF-4E5E-94F5-0982C6105E19}" cache="Slicer_Venue_Name" caption="Venue_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0CF9235A-AD99-4E64-B0C4-0B1FD9583C2D}" cache="Slicer_Venue_Name" caption="Venue_Nam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C34DFB-0CC9-41AE-8AE2-B4D0DA53FF05}" name="fact_player" displayName="fact_player" ref="A1:K141" tableType="queryTable" totalsRowShown="0">
  <autoFilter ref="A1:K141" xr:uid="{5AC34DFB-0CC9-41AE-8AE2-B4D0DA53FF05}"/>
  <tableColumns count="11">
    <tableColumn id="1" xr3:uid="{2F729524-1C39-4AC5-86CC-02BFB192304D}" uniqueName="1" name="Match_ID" queryTableFieldId="1" dataDxfId="35"/>
    <tableColumn id="2" xr3:uid="{F6025074-5B90-41A1-A834-5518359DD348}" uniqueName="2" name="Player_ID" queryTableFieldId="2" dataDxfId="34"/>
    <tableColumn id="3" xr3:uid="{4956F047-8CAE-42AE-8BBD-0F2AAC668589}" uniqueName="3" name="Runs" queryTableFieldId="3" dataDxfId="33"/>
    <tableColumn id="4" xr3:uid="{155643AD-9740-462A-8688-4D4F890229C7}" uniqueName="4" name="Balls_Faced" queryTableFieldId="4" dataDxfId="32"/>
    <tableColumn id="5" xr3:uid="{FD3329FC-80BD-4D48-B3F8-10E52E36C324}" uniqueName="5" name="Fours" queryTableFieldId="5" dataDxfId="31"/>
    <tableColumn id="6" xr3:uid="{29916C96-20E3-4536-BE14-7BAEC86BCD2A}" uniqueName="6" name="Sixes" queryTableFieldId="6" dataDxfId="30"/>
    <tableColumn id="7" xr3:uid="{C1336E45-CC15-4BDA-8F7C-BA6B3A4435C1}" uniqueName="7" name="Strike_Rate" queryTableFieldId="7" dataDxfId="29"/>
    <tableColumn id="8" xr3:uid="{76284BEB-987E-4F0C-8A2E-C0D03B1DF815}" uniqueName="8" name="Overs_Bowled" queryTableFieldId="8" dataDxfId="28"/>
    <tableColumn id="9" xr3:uid="{30D3CC3C-0B9A-4BD9-B881-64907A883C7D}" uniqueName="9" name="Runs_Conceded" queryTableFieldId="9" dataDxfId="27"/>
    <tableColumn id="10" xr3:uid="{0A9F8E01-297C-409F-B823-4662CB130DDC}" uniqueName="10" name="Wickets" queryTableFieldId="10" dataDxfId="26"/>
    <tableColumn id="11" xr3:uid="{08BA2FA6-A1E8-4F42-98F7-0AB81BC965DC}" uniqueName="11" name="Economy" queryTableFieldId="11"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B9B97B-A3AC-45AD-8A84-3FAD9676829C}" name="fact_match" displayName="fact_match" ref="A1:N61" tableType="queryTable" totalsRowShown="0">
  <autoFilter ref="A1:N61" xr:uid="{FFB9B97B-A3AC-45AD-8A84-3FAD9676829C}"/>
  <tableColumns count="14">
    <tableColumn id="1" xr3:uid="{FB892BB2-694A-4B90-889F-3C85D64212C8}" uniqueName="1" name="Match_ID" queryTableFieldId="1" dataDxfId="24"/>
    <tableColumn id="2" xr3:uid="{7CEFA897-8772-4171-B9D1-34320DF49DD6}" uniqueName="2" name="Date" queryTableFieldId="2" dataDxfId="23"/>
    <tableColumn id="3" xr3:uid="{D28B56A7-FA3B-4BC5-AFEC-5EE9D5651A69}" uniqueName="3" name="Venue_ID" queryTableFieldId="3" dataDxfId="22"/>
    <tableColumn id="4" xr3:uid="{38858C2B-7ABE-4F40-96E5-764C7CC5F09D}" uniqueName="4" name="Team1_ID" queryTableFieldId="4" dataDxfId="21"/>
    <tableColumn id="5" xr3:uid="{D6897568-CF46-4CCF-B218-662A742EC3AF}" uniqueName="5" name="Team2_ID" queryTableFieldId="5" dataDxfId="20"/>
    <tableColumn id="6" xr3:uid="{64C9944D-76D3-4154-ACF5-265C52E50F5C}" uniqueName="6" name="Toss_Winner" queryTableFieldId="6" dataDxfId="19"/>
    <tableColumn id="7" xr3:uid="{FD2E2442-F326-4CAB-A5D0-5D79B110A19C}" uniqueName="7" name="Match_Winner" queryTableFieldId="7" dataDxfId="18"/>
    <tableColumn id="8" xr3:uid="{67FCCF1F-009D-4529-85BB-95C65D8976DA}" uniqueName="8" name="Man_of_Match" queryTableFieldId="8" dataDxfId="17"/>
    <tableColumn id="9" xr3:uid="{9CEE6380-D03B-4CCD-ACE7-7B11ED766C08}" uniqueName="9" name="Team1_Runs" queryTableFieldId="9"/>
    <tableColumn id="10" xr3:uid="{63689CF3-6515-4A5C-8291-2D65D9575CC9}" uniqueName="10" name="Team2_Runs" queryTableFieldId="10"/>
    <tableColumn id="11" xr3:uid="{2AA25B06-4618-4A76-A7EC-B76904992AF3}" uniqueName="11" name="Team1_Wickets" queryTableFieldId="11"/>
    <tableColumn id="12" xr3:uid="{04707BAF-6DA3-47A0-8B9C-E24E443F721C}" uniqueName="12" name="Team2_Wickets" queryTableFieldId="12"/>
    <tableColumn id="13" xr3:uid="{4E63E20C-0CCB-4F9C-A793-F5C767BF3493}" uniqueName="13" name="Overs_Team1" queryTableFieldId="13"/>
    <tableColumn id="14" xr3:uid="{C93FF411-91C2-438B-BFD1-756B74773761}" uniqueName="14" name="Overs_Team2"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A7CF4B-613E-4B65-9D5A-4CCBB153846D}" name="dim_venue" displayName="dim_venue" ref="A1:D11" tableType="queryTable" totalsRowShown="0">
  <autoFilter ref="A1:D11" xr:uid="{70A7CF4B-613E-4B65-9D5A-4CCBB153846D}"/>
  <tableColumns count="4">
    <tableColumn id="1" xr3:uid="{6E04A5DF-4BFB-463B-93FC-6ED6D814BCA3}" uniqueName="1" name="Venue_ID" queryTableFieldId="1" dataDxfId="16"/>
    <tableColumn id="2" xr3:uid="{3167ABDC-CC3C-42FD-B0A0-DDFEA739879B}" uniqueName="2" name="Venue_Name" queryTableFieldId="2" dataDxfId="15"/>
    <tableColumn id="3" xr3:uid="{4173A567-662F-44C1-AC33-3B6E6F48D651}" uniqueName="3" name="City" queryTableFieldId="3" dataDxfId="14"/>
    <tableColumn id="4" xr3:uid="{440DA12C-11D2-4657-8F0F-F1304B83241C}" uniqueName="4" name="Capacit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1E4C39-9FD4-45F2-81E2-5443C37A5FFB}" name="dim_team" displayName="dim_team" ref="A1:G9" tableType="queryTable" totalsRowShown="0">
  <autoFilter ref="A1:G9" xr:uid="{DE1E4C39-9FD4-45F2-81E2-5443C37A5FFB}"/>
  <tableColumns count="7">
    <tableColumn id="1" xr3:uid="{E404F5BE-57C2-4268-B188-B48665CBD4AA}" uniqueName="1" name="Team_ID" queryTableFieldId="1" dataDxfId="13"/>
    <tableColumn id="2" xr3:uid="{5B8D0FF1-02D6-4186-846D-904339BAA08C}" uniqueName="2" name="Team_Name" queryTableFieldId="2" dataDxfId="12"/>
    <tableColumn id="3" xr3:uid="{105B3AE5-BBDB-4ECD-BDEE-6BCE35A75D90}" uniqueName="3" name="Captain" queryTableFieldId="3" dataDxfId="11"/>
    <tableColumn id="4" xr3:uid="{DD4231AE-032B-4773-8749-1362794B1E1E}" uniqueName="4" name="Coach" queryTableFieldId="4" dataDxfId="10"/>
    <tableColumn id="5" xr3:uid="{9785BADC-18BB-43A2-AA77-2FC92B8306E9}" uniqueName="5" name="Home_Ground" queryTableFieldId="5" dataDxfId="9"/>
    <tableColumn id="6" xr3:uid="{E12E7271-F6B9-4E87-A997-8B405FCD9301}" uniqueName="6" name="City" queryTableFieldId="6" dataDxfId="8"/>
    <tableColumn id="7" xr3:uid="{B425A316-D22F-4C67-B503-FF9C8A319080}" uniqueName="7" name="Owner" queryTableFieldId="7"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92D5BB-574C-4339-86A5-04649CBB1201}" name="dim_player" displayName="dim_player" ref="A1:H34" tableType="queryTable" totalsRowShown="0">
  <autoFilter ref="A1:H34" xr:uid="{1092D5BB-574C-4339-86A5-04649CBB1201}"/>
  <tableColumns count="8">
    <tableColumn id="1" xr3:uid="{9CF497E8-EB23-4B1E-9A60-2AD9C55D935F}" uniqueName="1" name="Player_ID" queryTableFieldId="1" dataDxfId="6"/>
    <tableColumn id="2" xr3:uid="{3146EB53-0339-4C9B-82D7-F9B0737EB050}" uniqueName="2" name="Player_Name" queryTableFieldId="2" dataDxfId="5"/>
    <tableColumn id="3" xr3:uid="{5FCEA776-BFD4-4327-A98A-812E4E218B1F}" uniqueName="3" name="Team_ID" queryTableFieldId="3" dataDxfId="4"/>
    <tableColumn id="4" xr3:uid="{BEFCD773-8115-4E17-9389-4E5F70590F4A}" uniqueName="4" name="Role" queryTableFieldId="4" dataDxfId="3"/>
    <tableColumn id="5" xr3:uid="{7EC57F18-950C-43FF-9750-9F66EEC44829}" uniqueName="5" name="Nationality" queryTableFieldId="5" dataDxfId="2"/>
    <tableColumn id="6" xr3:uid="{5ABF4B2B-B2F0-49CB-B528-D7DCFBF8FF72}" uniqueName="6" name="Age" queryTableFieldId="6"/>
    <tableColumn id="7" xr3:uid="{DA2FD12E-4DEA-4F51-BA0C-4CED8808C69A}" uniqueName="7" name="Batting_Style" queryTableFieldId="7" dataDxfId="1"/>
    <tableColumn id="8" xr3:uid="{50AD011C-9A0D-42C0-BC73-167AFF07B60E}" uniqueName="8" name="Bowling_Styl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ECC4-BAA7-4ACC-BBB3-3D83F98B8510}">
  <dimension ref="A1:AJ11"/>
  <sheetViews>
    <sheetView zoomScale="68" zoomScaleNormal="100" workbookViewId="0">
      <selection activeCell="S32" sqref="S32"/>
    </sheetView>
  </sheetViews>
  <sheetFormatPr defaultRowHeight="14.4" x14ac:dyDescent="0.3"/>
  <cols>
    <col min="19" max="19" width="8.88671875" customWidth="1"/>
  </cols>
  <sheetData>
    <row r="1" spans="1:36" x14ac:dyDescent="0.3">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row>
    <row r="2" spans="1:36" x14ac:dyDescent="0.3">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row>
    <row r="3" spans="1:36" ht="14.4" customHeight="1" x14ac:dyDescent="0.3">
      <c r="A3" s="19"/>
      <c r="B3" s="19"/>
      <c r="C3" s="19"/>
      <c r="D3" s="19"/>
      <c r="E3" s="19"/>
      <c r="F3" s="20"/>
      <c r="G3" s="20"/>
      <c r="H3" s="20"/>
      <c r="I3" s="20"/>
      <c r="J3" s="19"/>
      <c r="K3" s="28" t="s">
        <v>451</v>
      </c>
      <c r="L3" s="28"/>
      <c r="M3" s="28"/>
      <c r="N3" s="28"/>
      <c r="O3" s="19"/>
      <c r="P3" s="21" t="s">
        <v>444</v>
      </c>
      <c r="Q3" s="21"/>
      <c r="R3" s="21"/>
      <c r="S3" s="21"/>
      <c r="T3" s="19"/>
      <c r="U3" s="19"/>
      <c r="V3" s="19"/>
      <c r="W3" s="19"/>
      <c r="X3" s="19"/>
      <c r="Y3" s="19"/>
      <c r="Z3" s="19"/>
      <c r="AA3" s="19"/>
      <c r="AB3" s="19"/>
      <c r="AC3" s="19"/>
      <c r="AD3" s="19"/>
      <c r="AE3" s="19"/>
      <c r="AF3" s="19"/>
      <c r="AG3" s="19"/>
      <c r="AH3" s="19"/>
      <c r="AI3" s="19"/>
      <c r="AJ3" s="19"/>
    </row>
    <row r="4" spans="1:36" ht="14.4" customHeight="1" x14ac:dyDescent="0.3">
      <c r="A4" s="19"/>
      <c r="B4" s="19"/>
      <c r="C4" s="19"/>
      <c r="D4" s="19"/>
      <c r="E4" s="19"/>
      <c r="F4" s="20"/>
      <c r="G4" s="20"/>
      <c r="H4" s="20"/>
      <c r="I4" s="20"/>
      <c r="J4" s="19"/>
      <c r="K4" s="28"/>
      <c r="L4" s="28"/>
      <c r="M4" s="28"/>
      <c r="N4" s="28"/>
      <c r="O4" s="19"/>
      <c r="P4" s="21"/>
      <c r="Q4" s="21"/>
      <c r="R4" s="21"/>
      <c r="S4" s="21"/>
      <c r="T4" s="19"/>
      <c r="U4" s="23"/>
      <c r="V4" s="26" t="s">
        <v>441</v>
      </c>
      <c r="W4" s="26"/>
      <c r="X4" s="23"/>
      <c r="Y4" s="19"/>
      <c r="Z4" s="19"/>
      <c r="AA4" s="19"/>
      <c r="AB4" s="19"/>
      <c r="AC4" s="19"/>
      <c r="AD4" s="19"/>
      <c r="AE4" s="19"/>
      <c r="AF4" s="19"/>
      <c r="AG4" s="19"/>
      <c r="AH4" s="19"/>
      <c r="AI4" s="19"/>
      <c r="AJ4" s="19"/>
    </row>
    <row r="5" spans="1:36" ht="14.4" customHeight="1" x14ac:dyDescent="0.3">
      <c r="A5" s="19"/>
      <c r="B5" s="19"/>
      <c r="C5" s="19"/>
      <c r="D5" s="19"/>
      <c r="E5" s="19"/>
      <c r="F5" s="20"/>
      <c r="G5" s="20"/>
      <c r="H5" s="20"/>
      <c r="I5" s="20"/>
      <c r="J5" s="19"/>
      <c r="K5" s="28"/>
      <c r="L5" s="28"/>
      <c r="M5" s="28"/>
      <c r="N5" s="28"/>
      <c r="O5" s="19"/>
      <c r="P5" s="21"/>
      <c r="Q5" s="21"/>
      <c r="R5" s="21"/>
      <c r="S5" s="21"/>
      <c r="T5" s="19"/>
      <c r="U5" s="23"/>
      <c r="V5" s="25"/>
      <c r="W5" s="25"/>
      <c r="X5" s="23"/>
      <c r="Y5" s="19"/>
      <c r="Z5" s="19"/>
      <c r="AA5" s="19"/>
      <c r="AB5" s="19"/>
      <c r="AC5" s="19"/>
      <c r="AD5" s="19"/>
      <c r="AE5" s="19"/>
      <c r="AF5" s="19"/>
      <c r="AG5" s="19"/>
      <c r="AH5" s="19"/>
      <c r="AI5" s="19"/>
      <c r="AJ5" s="19"/>
    </row>
    <row r="6" spans="1:36" ht="14.4" customHeight="1" x14ac:dyDescent="0.3">
      <c r="A6" s="19"/>
      <c r="B6" s="19"/>
      <c r="C6" s="19"/>
      <c r="D6" s="19"/>
      <c r="E6" s="19"/>
      <c r="F6" s="19"/>
      <c r="G6" s="22">
        <f>IFERROR(GETPIVOTDATA("[Measures].[Count of Match_ID]",Team_Summary!$A$3),0)</f>
        <v>60</v>
      </c>
      <c r="H6" s="22"/>
      <c r="I6" s="22"/>
      <c r="J6" s="19"/>
      <c r="K6" s="19"/>
      <c r="L6" s="22">
        <f>IFERROR(Team_Summary!I6,0)</f>
        <v>9</v>
      </c>
      <c r="M6" s="22"/>
      <c r="N6" s="22"/>
      <c r="O6" s="19"/>
      <c r="P6" s="19"/>
      <c r="Q6" s="22">
        <f>IFERROR(GETPIVOTDATA("[Measures].[TotalRun]",Team_Summary!$A$3),0)</f>
        <v>20944</v>
      </c>
      <c r="R6" s="22"/>
      <c r="S6" s="22"/>
      <c r="T6" s="19"/>
      <c r="U6" s="23"/>
      <c r="V6" s="27">
        <f>IFERROR(GETPIVOTDATA("[Measures].[TotalWickets]",Team_Summary!$A$3),0)</f>
        <v>799</v>
      </c>
      <c r="W6" s="27"/>
      <c r="X6" s="23"/>
      <c r="Y6" s="19"/>
      <c r="Z6" s="19"/>
      <c r="AA6" s="19"/>
      <c r="AB6" s="19"/>
      <c r="AC6" s="19"/>
      <c r="AD6" s="19"/>
      <c r="AE6" s="19"/>
      <c r="AF6" s="19"/>
      <c r="AG6" s="19"/>
      <c r="AH6" s="19"/>
      <c r="AI6" s="19"/>
      <c r="AJ6" s="19"/>
    </row>
    <row r="7" spans="1:36" ht="14.4" customHeight="1" x14ac:dyDescent="0.3">
      <c r="A7" s="19"/>
      <c r="B7" s="19"/>
      <c r="C7" s="19"/>
      <c r="D7" s="19"/>
      <c r="E7" s="19"/>
      <c r="F7" s="19"/>
      <c r="G7" s="22"/>
      <c r="H7" s="22"/>
      <c r="I7" s="22"/>
      <c r="J7" s="19"/>
      <c r="K7" s="19"/>
      <c r="L7" s="22"/>
      <c r="M7" s="22"/>
      <c r="N7" s="22"/>
      <c r="O7" s="19"/>
      <c r="P7" s="19"/>
      <c r="Q7" s="22"/>
      <c r="R7" s="22"/>
      <c r="S7" s="22"/>
      <c r="T7" s="19"/>
      <c r="U7" s="19"/>
      <c r="V7" s="27"/>
      <c r="W7" s="27"/>
      <c r="X7" s="24"/>
      <c r="Y7" s="19"/>
      <c r="Z7" s="19"/>
      <c r="AA7" s="19"/>
      <c r="AB7" s="19"/>
      <c r="AC7" s="19"/>
      <c r="AD7" s="19"/>
      <c r="AE7" s="19"/>
      <c r="AF7" s="19"/>
      <c r="AG7" s="19"/>
      <c r="AH7" s="19"/>
      <c r="AI7" s="19"/>
      <c r="AJ7" s="19"/>
    </row>
    <row r="8" spans="1:36" ht="14.4" customHeight="1" x14ac:dyDescent="0.3">
      <c r="A8" s="19"/>
      <c r="B8" s="19"/>
      <c r="C8" s="19"/>
      <c r="D8" s="19"/>
      <c r="E8" s="19"/>
      <c r="F8" s="19"/>
      <c r="G8" s="22"/>
      <c r="H8" s="22"/>
      <c r="I8" s="22"/>
      <c r="J8" s="19"/>
      <c r="K8" s="19"/>
      <c r="L8" s="22"/>
      <c r="M8" s="22"/>
      <c r="N8" s="22"/>
      <c r="O8" s="19"/>
      <c r="P8" s="19"/>
      <c r="Q8" s="22"/>
      <c r="R8" s="22"/>
      <c r="S8" s="22"/>
      <c r="T8" s="19"/>
      <c r="U8" s="19"/>
      <c r="V8" s="27"/>
      <c r="W8" s="27"/>
      <c r="X8" s="24"/>
      <c r="Y8" s="19"/>
      <c r="Z8" s="19"/>
      <c r="AA8" s="19"/>
      <c r="AB8" s="19"/>
      <c r="AC8" s="19"/>
      <c r="AD8" s="19"/>
      <c r="AE8" s="19"/>
      <c r="AF8" s="19"/>
      <c r="AG8" s="19"/>
      <c r="AH8" s="19"/>
      <c r="AI8" s="19"/>
      <c r="AJ8" s="19"/>
    </row>
    <row r="9" spans="1:36" ht="14.4" customHeight="1" x14ac:dyDescent="0.3">
      <c r="A9" s="19"/>
      <c r="B9" s="19"/>
      <c r="C9" s="19"/>
      <c r="D9" s="19"/>
      <c r="E9" s="19"/>
      <c r="F9" s="19"/>
      <c r="G9" s="19"/>
      <c r="H9" s="19"/>
      <c r="I9" s="19"/>
      <c r="J9" s="19"/>
      <c r="K9" s="19"/>
      <c r="L9" s="19"/>
      <c r="M9" s="19"/>
      <c r="N9" s="19"/>
      <c r="O9" s="19"/>
      <c r="P9" s="19"/>
      <c r="Q9" s="19"/>
      <c r="R9" s="19"/>
      <c r="S9" s="19"/>
      <c r="T9" s="19"/>
      <c r="U9" s="19"/>
      <c r="V9" s="24"/>
      <c r="W9" s="24"/>
      <c r="X9" s="24"/>
      <c r="Y9" s="19"/>
      <c r="Z9" s="19"/>
      <c r="AA9" s="19"/>
      <c r="AB9" s="19"/>
      <c r="AC9" s="19"/>
      <c r="AD9" s="19"/>
      <c r="AE9" s="19"/>
      <c r="AF9" s="19"/>
      <c r="AG9" s="19"/>
      <c r="AH9" s="19"/>
      <c r="AI9" s="19"/>
      <c r="AJ9" s="19"/>
    </row>
    <row r="11" spans="1:36" x14ac:dyDescent="0.3">
      <c r="Z11" s="16"/>
    </row>
  </sheetData>
  <mergeCells count="8">
    <mergeCell ref="V4:W4"/>
    <mergeCell ref="V6:W8"/>
    <mergeCell ref="P3:S5"/>
    <mergeCell ref="Q6:S8"/>
    <mergeCell ref="G6:I8"/>
    <mergeCell ref="F3:I5"/>
    <mergeCell ref="K3:N5"/>
    <mergeCell ref="L6:N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0AD3-6EEA-4981-86DF-DDB6E5761522}">
  <dimension ref="G9:O17"/>
  <sheetViews>
    <sheetView tabSelected="1" topLeftCell="A8" zoomScale="70" workbookViewId="0">
      <selection activeCell="AA23" sqref="AA23"/>
    </sheetView>
  </sheetViews>
  <sheetFormatPr defaultRowHeight="14.4" x14ac:dyDescent="0.3"/>
  <sheetData>
    <row r="9" spans="7:15" s="17" customFormat="1" ht="18" customHeight="1" x14ac:dyDescent="0.3"/>
    <row r="10" spans="7:15" s="17" customFormat="1" x14ac:dyDescent="0.3"/>
    <row r="11" spans="7:15" s="17" customFormat="1" x14ac:dyDescent="0.3">
      <c r="G11" s="29" t="s">
        <v>457</v>
      </c>
      <c r="H11" s="18"/>
      <c r="I11" s="18"/>
      <c r="J11" s="18"/>
      <c r="L11" s="29" t="s">
        <v>257</v>
      </c>
      <c r="M11" s="18"/>
      <c r="N11" s="18"/>
      <c r="O11" s="18"/>
    </row>
    <row r="12" spans="7:15" s="17" customFormat="1" x14ac:dyDescent="0.3">
      <c r="G12" s="18"/>
      <c r="H12" s="18"/>
      <c r="I12" s="18"/>
      <c r="J12" s="18"/>
      <c r="L12" s="18"/>
      <c r="M12" s="18"/>
      <c r="N12" s="18"/>
      <c r="O12" s="18"/>
    </row>
    <row r="13" spans="7:15" s="17" customFormat="1" x14ac:dyDescent="0.3">
      <c r="G13" s="30">
        <f>GETPIVOTDATA("[Measures].[PlayerAverageStrikeRate]",Player_Summary!$A$82)</f>
        <v>120.15</v>
      </c>
      <c r="H13" s="30"/>
      <c r="I13" s="30"/>
      <c r="J13" s="30"/>
      <c r="L13" s="30">
        <f>Player_Summary!$G$37</f>
        <v>380</v>
      </c>
      <c r="M13" s="30"/>
      <c r="N13" s="30"/>
      <c r="O13" s="30"/>
    </row>
    <row r="14" spans="7:15" s="17" customFormat="1" x14ac:dyDescent="0.3">
      <c r="G14" s="30"/>
      <c r="H14" s="30"/>
      <c r="I14" s="30"/>
      <c r="J14" s="30"/>
      <c r="L14" s="30"/>
      <c r="M14" s="30"/>
      <c r="N14" s="30"/>
      <c r="O14" s="30"/>
    </row>
    <row r="15" spans="7:15" s="17" customFormat="1" x14ac:dyDescent="0.3">
      <c r="G15" s="30"/>
      <c r="H15" s="30"/>
      <c r="I15" s="30"/>
      <c r="J15" s="30"/>
      <c r="L15" s="30"/>
      <c r="M15" s="30"/>
      <c r="N15" s="30"/>
      <c r="O15" s="30"/>
    </row>
    <row r="16" spans="7:15" s="17" customFormat="1" x14ac:dyDescent="0.3">
      <c r="G16" s="30"/>
      <c r="H16" s="30"/>
      <c r="I16" s="30"/>
      <c r="J16" s="30"/>
      <c r="L16" s="30"/>
      <c r="M16" s="30"/>
      <c r="N16" s="30"/>
      <c r="O16" s="30"/>
    </row>
    <row r="17" s="17" customFormat="1" x14ac:dyDescent="0.3"/>
  </sheetData>
  <mergeCells count="4">
    <mergeCell ref="G11:J12"/>
    <mergeCell ref="G13:J16"/>
    <mergeCell ref="L11:O12"/>
    <mergeCell ref="L13:O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9706-3D95-4C0B-B7A5-6D75CA89CEB9}">
  <dimension ref="A3:J65"/>
  <sheetViews>
    <sheetView zoomScale="58" workbookViewId="0">
      <selection activeCell="T18" sqref="T18"/>
    </sheetView>
  </sheetViews>
  <sheetFormatPr defaultRowHeight="14.4" x14ac:dyDescent="0.3"/>
  <cols>
    <col min="1" max="1" width="38.21875" bestFit="1" customWidth="1"/>
    <col min="2" max="3" width="14.44140625" bestFit="1" customWidth="1"/>
    <col min="4" max="4" width="13.109375" bestFit="1" customWidth="1"/>
    <col min="5" max="5" width="17.88671875" bestFit="1" customWidth="1"/>
    <col min="9" max="9" width="19.44140625" bestFit="1" customWidth="1"/>
    <col min="10" max="10" width="14.44140625" bestFit="1" customWidth="1"/>
  </cols>
  <sheetData>
    <row r="3" spans="1:9" x14ac:dyDescent="0.3">
      <c r="A3" s="13" t="s">
        <v>438</v>
      </c>
      <c r="B3" t="s">
        <v>439</v>
      </c>
      <c r="C3" t="s">
        <v>442</v>
      </c>
      <c r="D3" t="s">
        <v>440</v>
      </c>
      <c r="E3" t="s">
        <v>441</v>
      </c>
    </row>
    <row r="4" spans="1:9" x14ac:dyDescent="0.3">
      <c r="A4" s="14" t="s">
        <v>117</v>
      </c>
      <c r="B4" s="1">
        <v>8</v>
      </c>
      <c r="C4" s="15">
        <v>5</v>
      </c>
      <c r="D4" s="15">
        <v>2869</v>
      </c>
      <c r="E4" s="15">
        <v>103</v>
      </c>
    </row>
    <row r="5" spans="1:9" x14ac:dyDescent="0.3">
      <c r="A5" s="14" t="s">
        <v>135</v>
      </c>
      <c r="B5" s="1">
        <v>7</v>
      </c>
      <c r="C5" s="15">
        <v>2</v>
      </c>
      <c r="D5" s="15">
        <v>2420</v>
      </c>
      <c r="E5" s="15">
        <v>85</v>
      </c>
    </row>
    <row r="6" spans="1:9" x14ac:dyDescent="0.3">
      <c r="A6" s="14" t="s">
        <v>129</v>
      </c>
      <c r="B6" s="1">
        <v>8</v>
      </c>
      <c r="C6" s="15">
        <v>4</v>
      </c>
      <c r="D6" s="15">
        <v>2788</v>
      </c>
      <c r="E6" s="15">
        <v>107</v>
      </c>
      <c r="I6">
        <f>COUNTA(A4:A12)</f>
        <v>9</v>
      </c>
    </row>
    <row r="7" spans="1:9" x14ac:dyDescent="0.3">
      <c r="A7" s="14" t="s">
        <v>111</v>
      </c>
      <c r="B7" s="1">
        <v>8</v>
      </c>
      <c r="C7" s="15">
        <v>4</v>
      </c>
      <c r="D7" s="15">
        <v>2735</v>
      </c>
      <c r="E7" s="15">
        <v>110</v>
      </c>
    </row>
    <row r="8" spans="1:9" x14ac:dyDescent="0.3">
      <c r="A8" s="14" t="s">
        <v>147</v>
      </c>
      <c r="B8" s="1">
        <v>7</v>
      </c>
      <c r="C8" s="15">
        <v>2</v>
      </c>
      <c r="D8" s="15">
        <v>2458</v>
      </c>
      <c r="E8" s="15">
        <v>89</v>
      </c>
    </row>
    <row r="9" spans="1:9" x14ac:dyDescent="0.3">
      <c r="A9" s="14" t="s">
        <v>141</v>
      </c>
      <c r="B9" s="1">
        <v>7</v>
      </c>
      <c r="C9" s="15">
        <v>4</v>
      </c>
      <c r="D9" s="15">
        <v>2318</v>
      </c>
      <c r="E9" s="15">
        <v>105</v>
      </c>
    </row>
    <row r="10" spans="1:9" x14ac:dyDescent="0.3">
      <c r="A10" s="14" t="s">
        <v>123</v>
      </c>
      <c r="B10" s="1">
        <v>7</v>
      </c>
      <c r="C10" s="15">
        <v>4</v>
      </c>
      <c r="D10" s="15">
        <v>2600</v>
      </c>
      <c r="E10" s="15">
        <v>88</v>
      </c>
    </row>
    <row r="11" spans="1:9" x14ac:dyDescent="0.3">
      <c r="A11" s="14" t="s">
        <v>153</v>
      </c>
      <c r="B11" s="1">
        <v>8</v>
      </c>
      <c r="C11" s="15">
        <v>5</v>
      </c>
      <c r="D11" s="15">
        <v>2756</v>
      </c>
      <c r="E11" s="15">
        <v>112</v>
      </c>
    </row>
    <row r="12" spans="1:9" x14ac:dyDescent="0.3">
      <c r="A12" s="14" t="s">
        <v>436</v>
      </c>
      <c r="B12" s="1"/>
      <c r="C12" s="15">
        <v>0</v>
      </c>
      <c r="D12" s="15"/>
      <c r="E12" s="15"/>
    </row>
    <row r="13" spans="1:9" x14ac:dyDescent="0.3">
      <c r="A13" s="14" t="s">
        <v>437</v>
      </c>
      <c r="B13" s="1">
        <v>60</v>
      </c>
      <c r="C13" s="15">
        <v>0</v>
      </c>
      <c r="D13" s="15">
        <v>20944</v>
      </c>
      <c r="E13" s="15">
        <v>799</v>
      </c>
    </row>
    <row r="19" spans="1:10" x14ac:dyDescent="0.3">
      <c r="A19" s="13" t="s">
        <v>438</v>
      </c>
      <c r="B19" t="s">
        <v>442</v>
      </c>
      <c r="I19" s="13" t="s">
        <v>438</v>
      </c>
      <c r="J19" t="s">
        <v>444</v>
      </c>
    </row>
    <row r="20" spans="1:10" x14ac:dyDescent="0.3">
      <c r="A20" s="14" t="s">
        <v>123</v>
      </c>
      <c r="B20" s="15">
        <v>4</v>
      </c>
      <c r="I20" s="14" t="s">
        <v>448</v>
      </c>
      <c r="J20" s="1">
        <v>13297</v>
      </c>
    </row>
    <row r="21" spans="1:10" x14ac:dyDescent="0.3">
      <c r="A21" s="14" t="s">
        <v>436</v>
      </c>
      <c r="B21" s="15">
        <v>0</v>
      </c>
      <c r="I21" s="14" t="s">
        <v>449</v>
      </c>
      <c r="J21" s="1">
        <v>7647</v>
      </c>
    </row>
    <row r="22" spans="1:10" x14ac:dyDescent="0.3">
      <c r="A22" s="14" t="s">
        <v>117</v>
      </c>
      <c r="B22" s="15">
        <v>5</v>
      </c>
      <c r="I22" s="14" t="s">
        <v>437</v>
      </c>
      <c r="J22" s="1">
        <v>20944</v>
      </c>
    </row>
    <row r="23" spans="1:10" x14ac:dyDescent="0.3">
      <c r="A23" s="14" t="s">
        <v>135</v>
      </c>
      <c r="B23" s="15">
        <v>2</v>
      </c>
    </row>
    <row r="24" spans="1:10" x14ac:dyDescent="0.3">
      <c r="A24" s="14" t="s">
        <v>129</v>
      </c>
      <c r="B24" s="15">
        <v>4</v>
      </c>
    </row>
    <row r="25" spans="1:10" x14ac:dyDescent="0.3">
      <c r="A25" s="14" t="s">
        <v>111</v>
      </c>
      <c r="B25" s="15">
        <v>4</v>
      </c>
    </row>
    <row r="26" spans="1:10" x14ac:dyDescent="0.3">
      <c r="A26" s="14" t="s">
        <v>147</v>
      </c>
      <c r="B26" s="15">
        <v>2</v>
      </c>
    </row>
    <row r="27" spans="1:10" x14ac:dyDescent="0.3">
      <c r="A27" s="14" t="s">
        <v>141</v>
      </c>
      <c r="B27" s="15">
        <v>4</v>
      </c>
    </row>
    <row r="28" spans="1:10" x14ac:dyDescent="0.3">
      <c r="A28" s="14" t="s">
        <v>153</v>
      </c>
      <c r="B28" s="15">
        <v>5</v>
      </c>
    </row>
    <row r="29" spans="1:10" x14ac:dyDescent="0.3">
      <c r="A29" s="14" t="s">
        <v>437</v>
      </c>
      <c r="B29" s="15">
        <v>0</v>
      </c>
    </row>
    <row r="36" spans="1:2" x14ac:dyDescent="0.3">
      <c r="A36" s="13" t="s">
        <v>438</v>
      </c>
      <c r="B36" t="s">
        <v>444</v>
      </c>
    </row>
    <row r="37" spans="1:2" x14ac:dyDescent="0.3">
      <c r="A37" s="14" t="s">
        <v>123</v>
      </c>
      <c r="B37" s="1">
        <v>2600</v>
      </c>
    </row>
    <row r="38" spans="1:2" x14ac:dyDescent="0.3">
      <c r="A38" s="14" t="s">
        <v>117</v>
      </c>
      <c r="B38" s="1">
        <v>2869</v>
      </c>
    </row>
    <row r="39" spans="1:2" x14ac:dyDescent="0.3">
      <c r="A39" s="14" t="s">
        <v>135</v>
      </c>
      <c r="B39" s="1">
        <v>2420</v>
      </c>
    </row>
    <row r="40" spans="1:2" x14ac:dyDescent="0.3">
      <c r="A40" s="14" t="s">
        <v>129</v>
      </c>
      <c r="B40" s="1">
        <v>2788</v>
      </c>
    </row>
    <row r="41" spans="1:2" x14ac:dyDescent="0.3">
      <c r="A41" s="14" t="s">
        <v>111</v>
      </c>
      <c r="B41" s="1">
        <v>2735</v>
      </c>
    </row>
    <row r="42" spans="1:2" x14ac:dyDescent="0.3">
      <c r="A42" s="14" t="s">
        <v>147</v>
      </c>
      <c r="B42" s="1">
        <v>2458</v>
      </c>
    </row>
    <row r="43" spans="1:2" x14ac:dyDescent="0.3">
      <c r="A43" s="14" t="s">
        <v>141</v>
      </c>
      <c r="B43" s="1">
        <v>2318</v>
      </c>
    </row>
    <row r="44" spans="1:2" x14ac:dyDescent="0.3">
      <c r="A44" s="14" t="s">
        <v>153</v>
      </c>
      <c r="B44" s="1">
        <v>2756</v>
      </c>
    </row>
    <row r="45" spans="1:2" x14ac:dyDescent="0.3">
      <c r="A45" s="14" t="s">
        <v>437</v>
      </c>
      <c r="B45" s="1">
        <v>20944</v>
      </c>
    </row>
    <row r="53" spans="1:2" x14ac:dyDescent="0.3">
      <c r="A53" s="13" t="s">
        <v>438</v>
      </c>
      <c r="B53" t="s">
        <v>450</v>
      </c>
    </row>
    <row r="54" spans="1:2" x14ac:dyDescent="0.3">
      <c r="A54" s="14" t="s">
        <v>138</v>
      </c>
      <c r="B54" s="1">
        <v>8</v>
      </c>
    </row>
    <row r="55" spans="1:2" x14ac:dyDescent="0.3">
      <c r="A55" s="14" t="s">
        <v>174</v>
      </c>
      <c r="B55" s="1">
        <v>8</v>
      </c>
    </row>
    <row r="56" spans="1:2" x14ac:dyDescent="0.3">
      <c r="A56" s="14" t="s">
        <v>132</v>
      </c>
      <c r="B56" s="1">
        <v>8</v>
      </c>
    </row>
    <row r="57" spans="1:2" x14ac:dyDescent="0.3">
      <c r="A57" s="14" t="s">
        <v>120</v>
      </c>
      <c r="B57" s="1">
        <v>8</v>
      </c>
    </row>
    <row r="58" spans="1:2" x14ac:dyDescent="0.3">
      <c r="A58" s="14" t="s">
        <v>126</v>
      </c>
      <c r="B58" s="1">
        <v>8</v>
      </c>
    </row>
    <row r="59" spans="1:2" x14ac:dyDescent="0.3">
      <c r="A59" s="14" t="s">
        <v>150</v>
      </c>
      <c r="B59" s="1">
        <v>8</v>
      </c>
    </row>
    <row r="60" spans="1:2" x14ac:dyDescent="0.3">
      <c r="A60" s="14" t="s">
        <v>171</v>
      </c>
      <c r="B60" s="1">
        <v>8</v>
      </c>
    </row>
    <row r="61" spans="1:2" x14ac:dyDescent="0.3">
      <c r="A61" s="14" t="s">
        <v>156</v>
      </c>
      <c r="B61" s="1">
        <v>8</v>
      </c>
    </row>
    <row r="62" spans="1:2" x14ac:dyDescent="0.3">
      <c r="A62" s="14" t="s">
        <v>144</v>
      </c>
      <c r="B62" s="1">
        <v>8</v>
      </c>
    </row>
    <row r="63" spans="1:2" x14ac:dyDescent="0.3">
      <c r="A63" s="14" t="s">
        <v>114</v>
      </c>
      <c r="B63" s="1">
        <v>8</v>
      </c>
    </row>
    <row r="64" spans="1:2" x14ac:dyDescent="0.3">
      <c r="A64" s="14" t="s">
        <v>436</v>
      </c>
      <c r="B64" s="1">
        <v>8</v>
      </c>
    </row>
    <row r="65" spans="1:2" x14ac:dyDescent="0.3">
      <c r="A65" s="14" t="s">
        <v>437</v>
      </c>
      <c r="B65" s="1">
        <v>8</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4667-7F3C-4A55-9CA6-B3213170DA67}">
  <dimension ref="A3:M116"/>
  <sheetViews>
    <sheetView topLeftCell="A37" zoomScale="58" zoomScaleNormal="190" workbookViewId="0">
      <selection activeCell="W52" sqref="W52"/>
    </sheetView>
  </sheetViews>
  <sheetFormatPr defaultRowHeight="14.4" x14ac:dyDescent="0.3"/>
  <cols>
    <col min="1" max="1" width="34.21875" bestFit="1" customWidth="1"/>
    <col min="2" max="2" width="14.44140625" bestFit="1" customWidth="1"/>
    <col min="3" max="3" width="15.6640625" bestFit="1" customWidth="1"/>
    <col min="4" max="4" width="17.88671875" bestFit="1" customWidth="1"/>
    <col min="5" max="5" width="20.5546875" bestFit="1" customWidth="1"/>
    <col min="6" max="6" width="14.44140625" bestFit="1" customWidth="1"/>
    <col min="7" max="7" width="12.33203125" bestFit="1" customWidth="1"/>
    <col min="10" max="10" width="22.6640625" bestFit="1" customWidth="1"/>
    <col min="11" max="11" width="14.44140625" bestFit="1" customWidth="1"/>
    <col min="12" max="12" width="22.6640625" bestFit="1" customWidth="1"/>
    <col min="13" max="14" width="22" bestFit="1" customWidth="1"/>
    <col min="15" max="15" width="10.5546875" bestFit="1" customWidth="1"/>
  </cols>
  <sheetData>
    <row r="3" spans="1:11" x14ac:dyDescent="0.3">
      <c r="A3" s="13" t="s">
        <v>443</v>
      </c>
      <c r="B3" t="s">
        <v>444</v>
      </c>
      <c r="C3" t="s">
        <v>445</v>
      </c>
      <c r="D3" t="s">
        <v>441</v>
      </c>
      <c r="E3" t="s">
        <v>446</v>
      </c>
      <c r="F3" t="s">
        <v>447</v>
      </c>
      <c r="G3" t="s">
        <v>257</v>
      </c>
      <c r="J3" s="13" t="s">
        <v>452</v>
      </c>
      <c r="K3" t="s">
        <v>444</v>
      </c>
    </row>
    <row r="4" spans="1:11" x14ac:dyDescent="0.3">
      <c r="A4" s="14" t="s">
        <v>97</v>
      </c>
      <c r="B4" s="1">
        <v>420</v>
      </c>
      <c r="C4" s="1">
        <v>250</v>
      </c>
      <c r="D4" s="1">
        <v>0</v>
      </c>
      <c r="E4" s="1">
        <v>0</v>
      </c>
      <c r="F4" s="1">
        <v>1004</v>
      </c>
      <c r="G4" s="1">
        <v>0</v>
      </c>
      <c r="J4" s="14" t="s">
        <v>97</v>
      </c>
      <c r="K4" s="1">
        <v>420</v>
      </c>
    </row>
    <row r="5" spans="1:11" x14ac:dyDescent="0.3">
      <c r="A5" s="14" t="s">
        <v>56</v>
      </c>
      <c r="B5" s="1">
        <v>343</v>
      </c>
      <c r="C5" s="1">
        <v>179</v>
      </c>
      <c r="D5" s="1">
        <v>11</v>
      </c>
      <c r="E5" s="1">
        <v>216</v>
      </c>
      <c r="F5" s="1">
        <v>1146</v>
      </c>
      <c r="G5" s="1">
        <v>56</v>
      </c>
      <c r="J5" s="14" t="s">
        <v>56</v>
      </c>
      <c r="K5" s="1">
        <v>343</v>
      </c>
    </row>
    <row r="6" spans="1:11" x14ac:dyDescent="0.3">
      <c r="A6" s="14" t="s">
        <v>89</v>
      </c>
      <c r="B6" s="1">
        <v>0</v>
      </c>
      <c r="C6" s="1">
        <v>0</v>
      </c>
      <c r="D6" s="1">
        <v>14</v>
      </c>
      <c r="E6" s="1">
        <v>134</v>
      </c>
      <c r="F6" s="1">
        <v>0</v>
      </c>
      <c r="G6" s="1">
        <v>35</v>
      </c>
      <c r="J6" s="14" t="s">
        <v>89</v>
      </c>
      <c r="K6" s="1">
        <v>0</v>
      </c>
    </row>
    <row r="7" spans="1:11" x14ac:dyDescent="0.3">
      <c r="A7" s="14" t="s">
        <v>72</v>
      </c>
      <c r="B7" s="1">
        <v>0</v>
      </c>
      <c r="C7" s="1">
        <v>0</v>
      </c>
      <c r="D7" s="1">
        <v>7</v>
      </c>
      <c r="E7" s="1">
        <v>67</v>
      </c>
      <c r="F7" s="1">
        <v>0</v>
      </c>
      <c r="G7" s="1">
        <v>17</v>
      </c>
      <c r="J7" s="14" t="s">
        <v>72</v>
      </c>
      <c r="K7" s="1">
        <v>0</v>
      </c>
    </row>
    <row r="8" spans="1:11" x14ac:dyDescent="0.3">
      <c r="A8" s="14" t="s">
        <v>100</v>
      </c>
      <c r="B8" s="1">
        <v>0</v>
      </c>
      <c r="C8" s="1">
        <v>0</v>
      </c>
      <c r="D8" s="1">
        <v>3</v>
      </c>
      <c r="E8" s="1">
        <v>58</v>
      </c>
      <c r="F8" s="1">
        <v>0</v>
      </c>
      <c r="G8" s="1">
        <v>15</v>
      </c>
      <c r="J8" s="14" t="s">
        <v>100</v>
      </c>
      <c r="K8" s="1">
        <v>0</v>
      </c>
    </row>
    <row r="9" spans="1:11" x14ac:dyDescent="0.3">
      <c r="A9" s="14" t="s">
        <v>37</v>
      </c>
      <c r="B9" s="1">
        <v>201</v>
      </c>
      <c r="C9" s="1">
        <v>129</v>
      </c>
      <c r="D9" s="1">
        <v>0</v>
      </c>
      <c r="E9" s="1">
        <v>0</v>
      </c>
      <c r="F9" s="1">
        <v>624</v>
      </c>
      <c r="G9" s="1">
        <v>0</v>
      </c>
      <c r="J9" s="14" t="s">
        <v>37</v>
      </c>
      <c r="K9" s="1">
        <v>201</v>
      </c>
    </row>
    <row r="10" spans="1:11" x14ac:dyDescent="0.3">
      <c r="A10" s="14" t="s">
        <v>64</v>
      </c>
      <c r="B10" s="1">
        <v>90</v>
      </c>
      <c r="C10" s="1">
        <v>50</v>
      </c>
      <c r="D10" s="1">
        <v>0</v>
      </c>
      <c r="E10" s="1">
        <v>0</v>
      </c>
      <c r="F10" s="1">
        <v>180</v>
      </c>
      <c r="G10" s="1">
        <v>0</v>
      </c>
      <c r="J10" s="14" t="s">
        <v>64</v>
      </c>
      <c r="K10" s="1">
        <v>90</v>
      </c>
    </row>
    <row r="11" spans="1:11" x14ac:dyDescent="0.3">
      <c r="A11" s="14" t="s">
        <v>34</v>
      </c>
      <c r="B11" s="1">
        <v>0</v>
      </c>
      <c r="C11" s="1">
        <v>0</v>
      </c>
      <c r="D11" s="1">
        <v>15</v>
      </c>
      <c r="E11" s="1">
        <v>153</v>
      </c>
      <c r="F11" s="1">
        <v>0</v>
      </c>
      <c r="G11" s="1">
        <v>39</v>
      </c>
      <c r="J11" s="14" t="s">
        <v>34</v>
      </c>
      <c r="K11" s="1">
        <v>0</v>
      </c>
    </row>
    <row r="12" spans="1:11" x14ac:dyDescent="0.3">
      <c r="A12" s="14" t="s">
        <v>51</v>
      </c>
      <c r="B12" s="1">
        <v>42</v>
      </c>
      <c r="C12" s="1">
        <v>21</v>
      </c>
      <c r="D12" s="1">
        <v>0</v>
      </c>
      <c r="E12" s="1">
        <v>0</v>
      </c>
      <c r="F12" s="1">
        <v>200</v>
      </c>
      <c r="G12" s="1">
        <v>0</v>
      </c>
      <c r="J12" s="14" t="s">
        <v>51</v>
      </c>
      <c r="K12" s="1">
        <v>42</v>
      </c>
    </row>
    <row r="13" spans="1:11" x14ac:dyDescent="0.3">
      <c r="A13" s="14" t="s">
        <v>48</v>
      </c>
      <c r="B13" s="1">
        <v>118</v>
      </c>
      <c r="C13" s="1">
        <v>65</v>
      </c>
      <c r="D13" s="1">
        <v>0</v>
      </c>
      <c r="E13" s="1">
        <v>0</v>
      </c>
      <c r="F13" s="1">
        <v>370</v>
      </c>
      <c r="G13" s="1">
        <v>0</v>
      </c>
      <c r="J13" s="14" t="s">
        <v>48</v>
      </c>
      <c r="K13" s="1">
        <v>118</v>
      </c>
    </row>
    <row r="14" spans="1:11" x14ac:dyDescent="0.3">
      <c r="A14" s="14" t="s">
        <v>28</v>
      </c>
      <c r="B14" s="1">
        <v>120</v>
      </c>
      <c r="C14" s="1">
        <v>75</v>
      </c>
      <c r="D14" s="1">
        <v>5</v>
      </c>
      <c r="E14" s="1">
        <v>90</v>
      </c>
      <c r="F14" s="1">
        <v>477</v>
      </c>
      <c r="G14" s="1">
        <v>23</v>
      </c>
      <c r="J14" s="14" t="s">
        <v>28</v>
      </c>
      <c r="K14" s="1">
        <v>120</v>
      </c>
    </row>
    <row r="15" spans="1:11" x14ac:dyDescent="0.3">
      <c r="A15" s="14" t="s">
        <v>102</v>
      </c>
      <c r="B15" s="1">
        <v>482</v>
      </c>
      <c r="C15" s="1">
        <v>256</v>
      </c>
      <c r="D15" s="1">
        <v>0</v>
      </c>
      <c r="E15" s="1">
        <v>0</v>
      </c>
      <c r="F15" s="1">
        <v>1335</v>
      </c>
      <c r="G15" s="1">
        <v>0</v>
      </c>
      <c r="J15" s="14" t="s">
        <v>102</v>
      </c>
      <c r="K15" s="1">
        <v>482</v>
      </c>
    </row>
    <row r="16" spans="1:11" x14ac:dyDescent="0.3">
      <c r="A16" s="14" t="s">
        <v>20</v>
      </c>
      <c r="B16" s="1">
        <v>233</v>
      </c>
      <c r="C16" s="1">
        <v>145</v>
      </c>
      <c r="D16" s="1">
        <v>0</v>
      </c>
      <c r="E16" s="1">
        <v>0</v>
      </c>
      <c r="F16" s="1">
        <v>637</v>
      </c>
      <c r="G16" s="1">
        <v>0</v>
      </c>
      <c r="J16" s="14" t="s">
        <v>20</v>
      </c>
      <c r="K16" s="1">
        <v>233</v>
      </c>
    </row>
    <row r="17" spans="1:11" x14ac:dyDescent="0.3">
      <c r="A17" s="14" t="s">
        <v>16</v>
      </c>
      <c r="B17" s="1">
        <v>0</v>
      </c>
      <c r="C17" s="1">
        <v>0</v>
      </c>
      <c r="D17" s="1">
        <v>14</v>
      </c>
      <c r="E17" s="1">
        <v>126</v>
      </c>
      <c r="F17" s="1">
        <v>0</v>
      </c>
      <c r="G17" s="1">
        <v>31</v>
      </c>
      <c r="J17" s="14" t="s">
        <v>16</v>
      </c>
      <c r="K17" s="1">
        <v>0</v>
      </c>
    </row>
    <row r="18" spans="1:11" x14ac:dyDescent="0.3">
      <c r="A18" s="14" t="s">
        <v>92</v>
      </c>
      <c r="B18" s="1">
        <v>70</v>
      </c>
      <c r="C18" s="1">
        <v>42</v>
      </c>
      <c r="D18" s="1">
        <v>0</v>
      </c>
      <c r="E18" s="1">
        <v>0</v>
      </c>
      <c r="F18" s="1">
        <v>167</v>
      </c>
      <c r="G18" s="1">
        <v>0</v>
      </c>
      <c r="J18" s="14" t="s">
        <v>92</v>
      </c>
      <c r="K18" s="1">
        <v>70</v>
      </c>
    </row>
    <row r="19" spans="1:11" x14ac:dyDescent="0.3">
      <c r="A19" s="14" t="s">
        <v>75</v>
      </c>
      <c r="B19" s="1">
        <v>557</v>
      </c>
      <c r="C19" s="1">
        <v>319</v>
      </c>
      <c r="D19" s="1">
        <v>0</v>
      </c>
      <c r="E19" s="1">
        <v>0</v>
      </c>
      <c r="F19" s="1">
        <v>1213</v>
      </c>
      <c r="G19" s="1">
        <v>0</v>
      </c>
      <c r="J19" s="14" t="s">
        <v>75</v>
      </c>
      <c r="K19" s="1">
        <v>557</v>
      </c>
    </row>
    <row r="20" spans="1:11" x14ac:dyDescent="0.3">
      <c r="A20" s="14" t="s">
        <v>94</v>
      </c>
      <c r="B20" s="1">
        <v>0</v>
      </c>
      <c r="C20" s="1">
        <v>0</v>
      </c>
      <c r="D20" s="1">
        <v>6</v>
      </c>
      <c r="E20" s="1">
        <v>77</v>
      </c>
      <c r="F20" s="1">
        <v>0</v>
      </c>
      <c r="G20" s="1">
        <v>20</v>
      </c>
      <c r="J20" s="14" t="s">
        <v>94</v>
      </c>
      <c r="K20" s="1">
        <v>0</v>
      </c>
    </row>
    <row r="21" spans="1:11" x14ac:dyDescent="0.3">
      <c r="A21" s="14" t="s">
        <v>67</v>
      </c>
      <c r="B21" s="1">
        <v>0</v>
      </c>
      <c r="C21" s="1">
        <v>0</v>
      </c>
      <c r="D21" s="1">
        <v>9</v>
      </c>
      <c r="E21" s="1">
        <v>67</v>
      </c>
      <c r="F21" s="1">
        <v>0</v>
      </c>
      <c r="G21" s="1">
        <v>16</v>
      </c>
      <c r="J21" s="14" t="s">
        <v>67</v>
      </c>
      <c r="K21" s="1">
        <v>0</v>
      </c>
    </row>
    <row r="22" spans="1:11" x14ac:dyDescent="0.3">
      <c r="A22" s="14" t="s">
        <v>86</v>
      </c>
      <c r="B22" s="1">
        <v>260</v>
      </c>
      <c r="C22" s="1">
        <v>160</v>
      </c>
      <c r="D22" s="1">
        <v>0</v>
      </c>
      <c r="E22" s="1">
        <v>0</v>
      </c>
      <c r="F22" s="1">
        <v>646</v>
      </c>
      <c r="G22" s="1">
        <v>0</v>
      </c>
      <c r="J22" s="14" t="s">
        <v>86</v>
      </c>
      <c r="K22" s="1">
        <v>260</v>
      </c>
    </row>
    <row r="23" spans="1:11" x14ac:dyDescent="0.3">
      <c r="A23" s="14" t="s">
        <v>40</v>
      </c>
      <c r="B23" s="1">
        <v>0</v>
      </c>
      <c r="C23" s="1">
        <v>0</v>
      </c>
      <c r="D23" s="1">
        <v>3</v>
      </c>
      <c r="E23" s="1">
        <v>21</v>
      </c>
      <c r="F23" s="1">
        <v>0</v>
      </c>
      <c r="G23" s="1">
        <v>5</v>
      </c>
      <c r="J23" s="14" t="s">
        <v>40</v>
      </c>
      <c r="K23" s="1">
        <v>0</v>
      </c>
    </row>
    <row r="24" spans="1:11" x14ac:dyDescent="0.3">
      <c r="A24" s="14" t="s">
        <v>70</v>
      </c>
      <c r="B24" s="1">
        <v>165</v>
      </c>
      <c r="C24" s="1">
        <v>95</v>
      </c>
      <c r="D24" s="1">
        <v>0</v>
      </c>
      <c r="E24" s="1">
        <v>0</v>
      </c>
      <c r="F24" s="1">
        <v>521</v>
      </c>
      <c r="G24" s="1">
        <v>0</v>
      </c>
      <c r="J24" s="14" t="s">
        <v>70</v>
      </c>
      <c r="K24" s="1">
        <v>165</v>
      </c>
    </row>
    <row r="25" spans="1:11" x14ac:dyDescent="0.3">
      <c r="A25" s="14" t="s">
        <v>46</v>
      </c>
      <c r="B25" s="1">
        <v>0</v>
      </c>
      <c r="C25" s="1">
        <v>0</v>
      </c>
      <c r="D25" s="1">
        <v>7</v>
      </c>
      <c r="E25" s="1">
        <v>85</v>
      </c>
      <c r="F25" s="1">
        <v>0</v>
      </c>
      <c r="G25" s="1">
        <v>22</v>
      </c>
      <c r="J25" s="14" t="s">
        <v>46</v>
      </c>
      <c r="K25" s="1">
        <v>0</v>
      </c>
    </row>
    <row r="26" spans="1:11" x14ac:dyDescent="0.3">
      <c r="A26" s="14" t="s">
        <v>53</v>
      </c>
      <c r="B26" s="1">
        <v>305</v>
      </c>
      <c r="C26" s="1">
        <v>170</v>
      </c>
      <c r="D26" s="1">
        <v>0</v>
      </c>
      <c r="E26" s="1">
        <v>0</v>
      </c>
      <c r="F26" s="1">
        <v>709</v>
      </c>
      <c r="G26" s="1">
        <v>0</v>
      </c>
      <c r="J26" s="14" t="s">
        <v>53</v>
      </c>
      <c r="K26" s="1">
        <v>305</v>
      </c>
    </row>
    <row r="27" spans="1:11" x14ac:dyDescent="0.3">
      <c r="A27" s="14" t="s">
        <v>31</v>
      </c>
      <c r="B27" s="1">
        <v>471</v>
      </c>
      <c r="C27" s="1">
        <v>264</v>
      </c>
      <c r="D27" s="1">
        <v>0</v>
      </c>
      <c r="E27" s="1">
        <v>0</v>
      </c>
      <c r="F27" s="1">
        <v>1249</v>
      </c>
      <c r="G27" s="1">
        <v>0</v>
      </c>
      <c r="J27" s="14" t="s">
        <v>31</v>
      </c>
      <c r="K27" s="1">
        <v>471</v>
      </c>
    </row>
    <row r="28" spans="1:11" x14ac:dyDescent="0.3">
      <c r="A28" s="14" t="s">
        <v>59</v>
      </c>
      <c r="B28" s="1">
        <v>146</v>
      </c>
      <c r="C28" s="1">
        <v>80</v>
      </c>
      <c r="D28" s="1">
        <v>14</v>
      </c>
      <c r="E28" s="1">
        <v>147</v>
      </c>
      <c r="F28" s="1">
        <v>1102</v>
      </c>
      <c r="G28" s="1">
        <v>38</v>
      </c>
      <c r="J28" s="14" t="s">
        <v>59</v>
      </c>
      <c r="K28" s="1">
        <v>146</v>
      </c>
    </row>
    <row r="29" spans="1:11" x14ac:dyDescent="0.3">
      <c r="A29" s="14" t="s">
        <v>9</v>
      </c>
      <c r="B29" s="1">
        <v>321</v>
      </c>
      <c r="C29" s="1">
        <v>186</v>
      </c>
      <c r="D29" s="1">
        <v>0</v>
      </c>
      <c r="E29" s="1">
        <v>0</v>
      </c>
      <c r="F29" s="1">
        <v>689</v>
      </c>
      <c r="G29" s="1">
        <v>0</v>
      </c>
      <c r="J29" s="14" t="s">
        <v>9</v>
      </c>
      <c r="K29" s="1">
        <v>321</v>
      </c>
    </row>
    <row r="30" spans="1:11" x14ac:dyDescent="0.3">
      <c r="A30" s="14" t="s">
        <v>25</v>
      </c>
      <c r="B30" s="1">
        <v>110</v>
      </c>
      <c r="C30" s="1">
        <v>65</v>
      </c>
      <c r="D30" s="1">
        <v>0</v>
      </c>
      <c r="E30" s="1">
        <v>0</v>
      </c>
      <c r="F30" s="1">
        <v>338</v>
      </c>
      <c r="G30" s="1">
        <v>0</v>
      </c>
      <c r="J30" s="14" t="s">
        <v>25</v>
      </c>
      <c r="K30" s="1">
        <v>110</v>
      </c>
    </row>
    <row r="31" spans="1:11" x14ac:dyDescent="0.3">
      <c r="A31" s="14" t="s">
        <v>104</v>
      </c>
      <c r="B31" s="1">
        <v>515</v>
      </c>
      <c r="C31" s="1">
        <v>311</v>
      </c>
      <c r="D31" s="1">
        <v>0</v>
      </c>
      <c r="E31" s="1">
        <v>0</v>
      </c>
      <c r="F31" s="1">
        <v>1156</v>
      </c>
      <c r="G31" s="1">
        <v>0</v>
      </c>
      <c r="J31" s="14" t="s">
        <v>104</v>
      </c>
      <c r="K31" s="1">
        <v>515</v>
      </c>
    </row>
    <row r="32" spans="1:11" x14ac:dyDescent="0.3">
      <c r="A32" s="14" t="s">
        <v>81</v>
      </c>
      <c r="B32" s="1">
        <v>0</v>
      </c>
      <c r="C32" s="1">
        <v>0</v>
      </c>
      <c r="D32" s="1">
        <v>12</v>
      </c>
      <c r="E32" s="1">
        <v>80</v>
      </c>
      <c r="F32" s="1">
        <v>0</v>
      </c>
      <c r="G32" s="1">
        <v>21</v>
      </c>
      <c r="J32" s="14" t="s">
        <v>81</v>
      </c>
      <c r="K32" s="1">
        <v>0</v>
      </c>
    </row>
    <row r="33" spans="1:13" x14ac:dyDescent="0.3">
      <c r="A33" s="14" t="s">
        <v>61</v>
      </c>
      <c r="B33" s="1">
        <v>0</v>
      </c>
      <c r="C33" s="1">
        <v>0</v>
      </c>
      <c r="D33" s="1">
        <v>15</v>
      </c>
      <c r="E33" s="1">
        <v>113</v>
      </c>
      <c r="F33" s="1">
        <v>0</v>
      </c>
      <c r="G33" s="1">
        <v>29</v>
      </c>
      <c r="J33" s="14" t="s">
        <v>61</v>
      </c>
      <c r="K33" s="1">
        <v>0</v>
      </c>
    </row>
    <row r="34" spans="1:13" x14ac:dyDescent="0.3">
      <c r="A34" s="14" t="s">
        <v>43</v>
      </c>
      <c r="B34" s="1">
        <v>820</v>
      </c>
      <c r="C34" s="1">
        <v>480</v>
      </c>
      <c r="D34" s="1">
        <v>0</v>
      </c>
      <c r="E34" s="1">
        <v>0</v>
      </c>
      <c r="F34" s="1">
        <v>1707</v>
      </c>
      <c r="G34" s="1">
        <v>0</v>
      </c>
      <c r="J34" s="14" t="s">
        <v>43</v>
      </c>
      <c r="K34" s="1">
        <v>820</v>
      </c>
    </row>
    <row r="35" spans="1:13" x14ac:dyDescent="0.3">
      <c r="A35" s="14" t="s">
        <v>84</v>
      </c>
      <c r="B35" s="1">
        <v>596</v>
      </c>
      <c r="C35" s="1">
        <v>354</v>
      </c>
      <c r="D35" s="1">
        <v>0</v>
      </c>
      <c r="E35" s="1">
        <v>0</v>
      </c>
      <c r="F35" s="1">
        <v>1351</v>
      </c>
      <c r="G35" s="1">
        <v>0</v>
      </c>
      <c r="J35" s="14" t="s">
        <v>84</v>
      </c>
      <c r="K35" s="1">
        <v>596</v>
      </c>
    </row>
    <row r="36" spans="1:13" x14ac:dyDescent="0.3">
      <c r="A36" s="14" t="s">
        <v>79</v>
      </c>
      <c r="B36" s="1">
        <v>0</v>
      </c>
      <c r="C36" s="1">
        <v>0</v>
      </c>
      <c r="D36" s="1">
        <v>5</v>
      </c>
      <c r="E36" s="1">
        <v>50</v>
      </c>
      <c r="F36" s="1">
        <v>0</v>
      </c>
      <c r="G36" s="1">
        <v>13</v>
      </c>
      <c r="J36" s="14" t="s">
        <v>79</v>
      </c>
      <c r="K36" s="1">
        <v>0</v>
      </c>
    </row>
    <row r="37" spans="1:13" x14ac:dyDescent="0.3">
      <c r="A37" s="14" t="s">
        <v>437</v>
      </c>
      <c r="B37" s="1">
        <v>6385</v>
      </c>
      <c r="C37" s="1">
        <v>3696</v>
      </c>
      <c r="D37" s="1">
        <v>140</v>
      </c>
      <c r="E37" s="1">
        <v>1484</v>
      </c>
      <c r="F37" s="1">
        <v>16821</v>
      </c>
      <c r="G37" s="1">
        <v>380</v>
      </c>
      <c r="J37" s="14" t="s">
        <v>437</v>
      </c>
      <c r="K37" s="1">
        <v>6385</v>
      </c>
    </row>
    <row r="44" spans="1:13" x14ac:dyDescent="0.3">
      <c r="A44" s="13" t="s">
        <v>453</v>
      </c>
      <c r="B44" t="s">
        <v>441</v>
      </c>
      <c r="L44" s="13" t="s">
        <v>453</v>
      </c>
      <c r="M44" t="s">
        <v>456</v>
      </c>
    </row>
    <row r="45" spans="1:13" x14ac:dyDescent="0.3">
      <c r="A45" s="14" t="s">
        <v>97</v>
      </c>
      <c r="B45" s="1">
        <v>0</v>
      </c>
      <c r="L45" s="14" t="s">
        <v>97</v>
      </c>
      <c r="M45" s="1">
        <v>0</v>
      </c>
    </row>
    <row r="46" spans="1:13" x14ac:dyDescent="0.3">
      <c r="A46" s="14" t="s">
        <v>56</v>
      </c>
      <c r="B46" s="1">
        <v>11</v>
      </c>
      <c r="L46" s="14" t="s">
        <v>56</v>
      </c>
      <c r="M46" s="1">
        <v>56</v>
      </c>
    </row>
    <row r="47" spans="1:13" x14ac:dyDescent="0.3">
      <c r="A47" s="14" t="s">
        <v>89</v>
      </c>
      <c r="B47" s="1">
        <v>14</v>
      </c>
      <c r="L47" s="14" t="s">
        <v>89</v>
      </c>
      <c r="M47" s="1">
        <v>35</v>
      </c>
    </row>
    <row r="48" spans="1:13" x14ac:dyDescent="0.3">
      <c r="A48" s="14" t="s">
        <v>72</v>
      </c>
      <c r="B48" s="1">
        <v>7</v>
      </c>
      <c r="L48" s="14" t="s">
        <v>72</v>
      </c>
      <c r="M48" s="1">
        <v>17</v>
      </c>
    </row>
    <row r="49" spans="1:13" x14ac:dyDescent="0.3">
      <c r="A49" s="14" t="s">
        <v>100</v>
      </c>
      <c r="B49" s="1">
        <v>3</v>
      </c>
      <c r="L49" s="14" t="s">
        <v>100</v>
      </c>
      <c r="M49" s="1">
        <v>15</v>
      </c>
    </row>
    <row r="50" spans="1:13" x14ac:dyDescent="0.3">
      <c r="A50" s="14" t="s">
        <v>37</v>
      </c>
      <c r="B50" s="1">
        <v>0</v>
      </c>
      <c r="L50" s="14" t="s">
        <v>37</v>
      </c>
      <c r="M50" s="1">
        <v>0</v>
      </c>
    </row>
    <row r="51" spans="1:13" x14ac:dyDescent="0.3">
      <c r="A51" s="14" t="s">
        <v>64</v>
      </c>
      <c r="B51" s="1">
        <v>0</v>
      </c>
      <c r="L51" s="14" t="s">
        <v>64</v>
      </c>
      <c r="M51" s="1">
        <v>0</v>
      </c>
    </row>
    <row r="52" spans="1:13" x14ac:dyDescent="0.3">
      <c r="A52" s="14" t="s">
        <v>34</v>
      </c>
      <c r="B52" s="1">
        <v>15</v>
      </c>
      <c r="L52" s="14" t="s">
        <v>34</v>
      </c>
      <c r="M52" s="1">
        <v>39</v>
      </c>
    </row>
    <row r="53" spans="1:13" x14ac:dyDescent="0.3">
      <c r="A53" s="14" t="s">
        <v>51</v>
      </c>
      <c r="B53" s="1">
        <v>0</v>
      </c>
      <c r="L53" s="14" t="s">
        <v>51</v>
      </c>
      <c r="M53" s="1">
        <v>0</v>
      </c>
    </row>
    <row r="54" spans="1:13" x14ac:dyDescent="0.3">
      <c r="A54" s="14" t="s">
        <v>48</v>
      </c>
      <c r="B54" s="1">
        <v>0</v>
      </c>
      <c r="L54" s="14" t="s">
        <v>48</v>
      </c>
      <c r="M54" s="1">
        <v>0</v>
      </c>
    </row>
    <row r="55" spans="1:13" x14ac:dyDescent="0.3">
      <c r="A55" s="14" t="s">
        <v>28</v>
      </c>
      <c r="B55" s="1">
        <v>5</v>
      </c>
      <c r="L55" s="14" t="s">
        <v>28</v>
      </c>
      <c r="M55" s="1">
        <v>23</v>
      </c>
    </row>
    <row r="56" spans="1:13" x14ac:dyDescent="0.3">
      <c r="A56" s="14" t="s">
        <v>102</v>
      </c>
      <c r="B56" s="1">
        <v>0</v>
      </c>
      <c r="L56" s="14" t="s">
        <v>102</v>
      </c>
      <c r="M56" s="1">
        <v>0</v>
      </c>
    </row>
    <row r="57" spans="1:13" x14ac:dyDescent="0.3">
      <c r="A57" s="14" t="s">
        <v>20</v>
      </c>
      <c r="B57" s="1">
        <v>0</v>
      </c>
      <c r="L57" s="14" t="s">
        <v>20</v>
      </c>
      <c r="M57" s="1">
        <v>0</v>
      </c>
    </row>
    <row r="58" spans="1:13" x14ac:dyDescent="0.3">
      <c r="A58" s="14" t="s">
        <v>16</v>
      </c>
      <c r="B58" s="1">
        <v>14</v>
      </c>
      <c r="L58" s="14" t="s">
        <v>16</v>
      </c>
      <c r="M58" s="1">
        <v>31</v>
      </c>
    </row>
    <row r="59" spans="1:13" x14ac:dyDescent="0.3">
      <c r="A59" s="14" t="s">
        <v>92</v>
      </c>
      <c r="B59" s="1">
        <v>0</v>
      </c>
      <c r="L59" s="14" t="s">
        <v>92</v>
      </c>
      <c r="M59" s="1">
        <v>0</v>
      </c>
    </row>
    <row r="60" spans="1:13" x14ac:dyDescent="0.3">
      <c r="A60" s="14" t="s">
        <v>75</v>
      </c>
      <c r="B60" s="1">
        <v>0</v>
      </c>
      <c r="L60" s="14" t="s">
        <v>75</v>
      </c>
      <c r="M60" s="1">
        <v>0</v>
      </c>
    </row>
    <row r="61" spans="1:13" x14ac:dyDescent="0.3">
      <c r="A61" s="14" t="s">
        <v>94</v>
      </c>
      <c r="B61" s="1">
        <v>6</v>
      </c>
      <c r="L61" s="14" t="s">
        <v>94</v>
      </c>
      <c r="M61" s="1">
        <v>20</v>
      </c>
    </row>
    <row r="62" spans="1:13" x14ac:dyDescent="0.3">
      <c r="A62" s="14" t="s">
        <v>67</v>
      </c>
      <c r="B62" s="1">
        <v>9</v>
      </c>
      <c r="L62" s="14" t="s">
        <v>67</v>
      </c>
      <c r="M62" s="1">
        <v>16</v>
      </c>
    </row>
    <row r="63" spans="1:13" x14ac:dyDescent="0.3">
      <c r="A63" s="14" t="s">
        <v>86</v>
      </c>
      <c r="B63" s="1">
        <v>0</v>
      </c>
      <c r="L63" s="14" t="s">
        <v>86</v>
      </c>
      <c r="M63" s="1">
        <v>0</v>
      </c>
    </row>
    <row r="64" spans="1:13" x14ac:dyDescent="0.3">
      <c r="A64" s="14" t="s">
        <v>40</v>
      </c>
      <c r="B64" s="1">
        <v>3</v>
      </c>
      <c r="L64" s="14" t="s">
        <v>40</v>
      </c>
      <c r="M64" s="1">
        <v>5</v>
      </c>
    </row>
    <row r="65" spans="1:13" x14ac:dyDescent="0.3">
      <c r="A65" s="14" t="s">
        <v>70</v>
      </c>
      <c r="B65" s="1">
        <v>0</v>
      </c>
      <c r="L65" s="14" t="s">
        <v>70</v>
      </c>
      <c r="M65" s="1">
        <v>0</v>
      </c>
    </row>
    <row r="66" spans="1:13" x14ac:dyDescent="0.3">
      <c r="A66" s="14" t="s">
        <v>46</v>
      </c>
      <c r="B66" s="1">
        <v>7</v>
      </c>
      <c r="L66" s="14" t="s">
        <v>46</v>
      </c>
      <c r="M66" s="1">
        <v>22</v>
      </c>
    </row>
    <row r="67" spans="1:13" x14ac:dyDescent="0.3">
      <c r="A67" s="14" t="s">
        <v>53</v>
      </c>
      <c r="B67" s="1">
        <v>0</v>
      </c>
      <c r="L67" s="14" t="s">
        <v>53</v>
      </c>
      <c r="M67" s="1">
        <v>0</v>
      </c>
    </row>
    <row r="68" spans="1:13" x14ac:dyDescent="0.3">
      <c r="A68" s="14" t="s">
        <v>31</v>
      </c>
      <c r="B68" s="1">
        <v>0</v>
      </c>
      <c r="L68" s="14" t="s">
        <v>31</v>
      </c>
      <c r="M68" s="1">
        <v>0</v>
      </c>
    </row>
    <row r="69" spans="1:13" x14ac:dyDescent="0.3">
      <c r="A69" s="14" t="s">
        <v>59</v>
      </c>
      <c r="B69" s="1">
        <v>14</v>
      </c>
      <c r="L69" s="14" t="s">
        <v>59</v>
      </c>
      <c r="M69" s="1">
        <v>38</v>
      </c>
    </row>
    <row r="70" spans="1:13" x14ac:dyDescent="0.3">
      <c r="A70" s="14" t="s">
        <v>9</v>
      </c>
      <c r="B70" s="1">
        <v>0</v>
      </c>
      <c r="L70" s="14" t="s">
        <v>9</v>
      </c>
      <c r="M70" s="1">
        <v>0</v>
      </c>
    </row>
    <row r="71" spans="1:13" x14ac:dyDescent="0.3">
      <c r="A71" s="14" t="s">
        <v>25</v>
      </c>
      <c r="B71" s="1">
        <v>0</v>
      </c>
      <c r="L71" s="14" t="s">
        <v>25</v>
      </c>
      <c r="M71" s="1">
        <v>0</v>
      </c>
    </row>
    <row r="72" spans="1:13" x14ac:dyDescent="0.3">
      <c r="A72" s="14" t="s">
        <v>104</v>
      </c>
      <c r="B72" s="1">
        <v>0</v>
      </c>
      <c r="L72" s="14" t="s">
        <v>104</v>
      </c>
      <c r="M72" s="1">
        <v>0</v>
      </c>
    </row>
    <row r="73" spans="1:13" x14ac:dyDescent="0.3">
      <c r="A73" s="14" t="s">
        <v>81</v>
      </c>
      <c r="B73" s="1">
        <v>12</v>
      </c>
      <c r="L73" s="14" t="s">
        <v>81</v>
      </c>
      <c r="M73" s="1">
        <v>21</v>
      </c>
    </row>
    <row r="74" spans="1:13" x14ac:dyDescent="0.3">
      <c r="A74" s="14" t="s">
        <v>61</v>
      </c>
      <c r="B74" s="1">
        <v>15</v>
      </c>
      <c r="L74" s="14" t="s">
        <v>61</v>
      </c>
      <c r="M74" s="1">
        <v>29</v>
      </c>
    </row>
    <row r="75" spans="1:13" x14ac:dyDescent="0.3">
      <c r="A75" s="14" t="s">
        <v>43</v>
      </c>
      <c r="B75" s="1">
        <v>0</v>
      </c>
      <c r="L75" s="14" t="s">
        <v>43</v>
      </c>
      <c r="M75" s="1">
        <v>0</v>
      </c>
    </row>
    <row r="76" spans="1:13" x14ac:dyDescent="0.3">
      <c r="A76" s="14" t="s">
        <v>84</v>
      </c>
      <c r="B76" s="1">
        <v>0</v>
      </c>
      <c r="L76" s="14" t="s">
        <v>84</v>
      </c>
      <c r="M76" s="1">
        <v>0</v>
      </c>
    </row>
    <row r="77" spans="1:13" x14ac:dyDescent="0.3">
      <c r="A77" s="14" t="s">
        <v>79</v>
      </c>
      <c r="B77" s="1">
        <v>5</v>
      </c>
      <c r="L77" s="14" t="s">
        <v>79</v>
      </c>
      <c r="M77" s="1">
        <v>13</v>
      </c>
    </row>
    <row r="78" spans="1:13" x14ac:dyDescent="0.3">
      <c r="A78" s="14" t="s">
        <v>437</v>
      </c>
      <c r="B78" s="1">
        <v>140</v>
      </c>
      <c r="L78" s="14" t="s">
        <v>437</v>
      </c>
      <c r="M78" s="1">
        <v>380</v>
      </c>
    </row>
    <row r="82" spans="1:3" x14ac:dyDescent="0.3">
      <c r="A82" s="13" t="s">
        <v>453</v>
      </c>
      <c r="B82" t="s">
        <v>454</v>
      </c>
      <c r="C82" t="s">
        <v>455</v>
      </c>
    </row>
    <row r="83" spans="1:3" x14ac:dyDescent="0.3">
      <c r="A83" s="14" t="s">
        <v>97</v>
      </c>
      <c r="B83" s="3">
        <v>167.33333333333334</v>
      </c>
      <c r="C83" s="1">
        <v>1004</v>
      </c>
    </row>
    <row r="84" spans="1:3" x14ac:dyDescent="0.3">
      <c r="A84" s="14" t="s">
        <v>56</v>
      </c>
      <c r="B84" s="3">
        <v>191</v>
      </c>
      <c r="C84" s="1">
        <v>1146</v>
      </c>
    </row>
    <row r="85" spans="1:3" x14ac:dyDescent="0.3">
      <c r="A85" s="14" t="s">
        <v>89</v>
      </c>
      <c r="B85" s="3">
        <v>0</v>
      </c>
      <c r="C85" s="1">
        <v>0</v>
      </c>
    </row>
    <row r="86" spans="1:3" x14ac:dyDescent="0.3">
      <c r="A86" s="14" t="s">
        <v>72</v>
      </c>
      <c r="B86" s="3">
        <v>0</v>
      </c>
      <c r="C86" s="1">
        <v>0</v>
      </c>
    </row>
    <row r="87" spans="1:3" x14ac:dyDescent="0.3">
      <c r="A87" s="14" t="s">
        <v>100</v>
      </c>
      <c r="B87" s="3">
        <v>0</v>
      </c>
      <c r="C87" s="1">
        <v>0</v>
      </c>
    </row>
    <row r="88" spans="1:3" x14ac:dyDescent="0.3">
      <c r="A88" s="14" t="s">
        <v>37</v>
      </c>
      <c r="B88" s="3">
        <v>156</v>
      </c>
      <c r="C88" s="1">
        <v>624</v>
      </c>
    </row>
    <row r="89" spans="1:3" x14ac:dyDescent="0.3">
      <c r="A89" s="14" t="s">
        <v>64</v>
      </c>
      <c r="B89" s="3">
        <v>180</v>
      </c>
      <c r="C89" s="1">
        <v>180</v>
      </c>
    </row>
    <row r="90" spans="1:3" x14ac:dyDescent="0.3">
      <c r="A90" s="14" t="s">
        <v>34</v>
      </c>
      <c r="B90" s="3">
        <v>0</v>
      </c>
      <c r="C90" s="1">
        <v>0</v>
      </c>
    </row>
    <row r="91" spans="1:3" x14ac:dyDescent="0.3">
      <c r="A91" s="14" t="s">
        <v>51</v>
      </c>
      <c r="B91" s="3">
        <v>200</v>
      </c>
      <c r="C91" s="1">
        <v>200</v>
      </c>
    </row>
    <row r="92" spans="1:3" x14ac:dyDescent="0.3">
      <c r="A92" s="14" t="s">
        <v>48</v>
      </c>
      <c r="B92" s="3">
        <v>185</v>
      </c>
      <c r="C92" s="1">
        <v>370</v>
      </c>
    </row>
    <row r="93" spans="1:3" x14ac:dyDescent="0.3">
      <c r="A93" s="14" t="s">
        <v>28</v>
      </c>
      <c r="B93" s="3">
        <v>159</v>
      </c>
      <c r="C93" s="1">
        <v>477</v>
      </c>
    </row>
    <row r="94" spans="1:3" x14ac:dyDescent="0.3">
      <c r="A94" s="14" t="s">
        <v>102</v>
      </c>
      <c r="B94" s="3">
        <v>190.71428571428572</v>
      </c>
      <c r="C94" s="1">
        <v>1335</v>
      </c>
    </row>
    <row r="95" spans="1:3" x14ac:dyDescent="0.3">
      <c r="A95" s="14" t="s">
        <v>20</v>
      </c>
      <c r="B95" s="3">
        <v>159.25</v>
      </c>
      <c r="C95" s="1">
        <v>637</v>
      </c>
    </row>
    <row r="96" spans="1:3" x14ac:dyDescent="0.3">
      <c r="A96" s="14" t="s">
        <v>16</v>
      </c>
      <c r="B96" s="3">
        <v>0</v>
      </c>
      <c r="C96" s="1">
        <v>0</v>
      </c>
    </row>
    <row r="97" spans="1:3" x14ac:dyDescent="0.3">
      <c r="A97" s="14" t="s">
        <v>92</v>
      </c>
      <c r="B97" s="3">
        <v>167</v>
      </c>
      <c r="C97" s="1">
        <v>167</v>
      </c>
    </row>
    <row r="98" spans="1:3" x14ac:dyDescent="0.3">
      <c r="A98" s="14" t="s">
        <v>75</v>
      </c>
      <c r="B98" s="3">
        <v>173.28571428571428</v>
      </c>
      <c r="C98" s="1">
        <v>1213</v>
      </c>
    </row>
    <row r="99" spans="1:3" x14ac:dyDescent="0.3">
      <c r="A99" s="14" t="s">
        <v>94</v>
      </c>
      <c r="B99" s="3">
        <v>0</v>
      </c>
      <c r="C99" s="1">
        <v>0</v>
      </c>
    </row>
    <row r="100" spans="1:3" x14ac:dyDescent="0.3">
      <c r="A100" s="14" t="s">
        <v>67</v>
      </c>
      <c r="B100" s="3">
        <v>0</v>
      </c>
      <c r="C100" s="1">
        <v>0</v>
      </c>
    </row>
    <row r="101" spans="1:3" x14ac:dyDescent="0.3">
      <c r="A101" s="14" t="s">
        <v>86</v>
      </c>
      <c r="B101" s="3">
        <v>161.5</v>
      </c>
      <c r="C101" s="1">
        <v>646</v>
      </c>
    </row>
    <row r="102" spans="1:3" x14ac:dyDescent="0.3">
      <c r="A102" s="14" t="s">
        <v>40</v>
      </c>
      <c r="B102" s="3">
        <v>0</v>
      </c>
      <c r="C102" s="1">
        <v>0</v>
      </c>
    </row>
    <row r="103" spans="1:3" x14ac:dyDescent="0.3">
      <c r="A103" s="14" t="s">
        <v>70</v>
      </c>
      <c r="B103" s="3">
        <v>173.66666666666666</v>
      </c>
      <c r="C103" s="1">
        <v>521</v>
      </c>
    </row>
    <row r="104" spans="1:3" x14ac:dyDescent="0.3">
      <c r="A104" s="14" t="s">
        <v>46</v>
      </c>
      <c r="B104" s="3">
        <v>0</v>
      </c>
      <c r="C104" s="1">
        <v>0</v>
      </c>
    </row>
    <row r="105" spans="1:3" x14ac:dyDescent="0.3">
      <c r="A105" s="14" t="s">
        <v>53</v>
      </c>
      <c r="B105" s="3">
        <v>177.25</v>
      </c>
      <c r="C105" s="1">
        <v>709</v>
      </c>
    </row>
    <row r="106" spans="1:3" x14ac:dyDescent="0.3">
      <c r="A106" s="14" t="s">
        <v>31</v>
      </c>
      <c r="B106" s="3">
        <v>178.42857142857142</v>
      </c>
      <c r="C106" s="1">
        <v>1249</v>
      </c>
    </row>
    <row r="107" spans="1:3" x14ac:dyDescent="0.3">
      <c r="A107" s="14" t="s">
        <v>59</v>
      </c>
      <c r="B107" s="3">
        <v>183.66666666666666</v>
      </c>
      <c r="C107" s="1">
        <v>1102</v>
      </c>
    </row>
    <row r="108" spans="1:3" x14ac:dyDescent="0.3">
      <c r="A108" s="14" t="s">
        <v>9</v>
      </c>
      <c r="B108" s="3">
        <v>172.25</v>
      </c>
      <c r="C108" s="1">
        <v>689</v>
      </c>
    </row>
    <row r="109" spans="1:3" x14ac:dyDescent="0.3">
      <c r="A109" s="14" t="s">
        <v>25</v>
      </c>
      <c r="B109" s="3">
        <v>169</v>
      </c>
      <c r="C109" s="1">
        <v>338</v>
      </c>
    </row>
    <row r="110" spans="1:3" x14ac:dyDescent="0.3">
      <c r="A110" s="14" t="s">
        <v>104</v>
      </c>
      <c r="B110" s="3">
        <v>165.14285714285714</v>
      </c>
      <c r="C110" s="1">
        <v>1156</v>
      </c>
    </row>
    <row r="111" spans="1:3" x14ac:dyDescent="0.3">
      <c r="A111" s="14" t="s">
        <v>81</v>
      </c>
      <c r="B111" s="3">
        <v>0</v>
      </c>
      <c r="C111" s="1">
        <v>0</v>
      </c>
    </row>
    <row r="112" spans="1:3" x14ac:dyDescent="0.3">
      <c r="A112" s="14" t="s">
        <v>61</v>
      </c>
      <c r="B112" s="3">
        <v>0</v>
      </c>
      <c r="C112" s="1">
        <v>0</v>
      </c>
    </row>
    <row r="113" spans="1:3" x14ac:dyDescent="0.3">
      <c r="A113" s="14" t="s">
        <v>43</v>
      </c>
      <c r="B113" s="3">
        <v>170.7</v>
      </c>
      <c r="C113" s="1">
        <v>1707</v>
      </c>
    </row>
    <row r="114" spans="1:3" x14ac:dyDescent="0.3">
      <c r="A114" s="14" t="s">
        <v>84</v>
      </c>
      <c r="B114" s="3">
        <v>168.875</v>
      </c>
      <c r="C114" s="1">
        <v>1351</v>
      </c>
    </row>
    <row r="115" spans="1:3" x14ac:dyDescent="0.3">
      <c r="A115" s="14" t="s">
        <v>79</v>
      </c>
      <c r="B115" s="3">
        <v>0</v>
      </c>
      <c r="C115" s="1">
        <v>0</v>
      </c>
    </row>
    <row r="116" spans="1:3" x14ac:dyDescent="0.3">
      <c r="A116" s="14" t="s">
        <v>437</v>
      </c>
      <c r="B116" s="3">
        <v>120.15</v>
      </c>
      <c r="C116" s="1">
        <v>16821</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9A79-6996-4D95-8C2D-26E1EFD7A750}">
  <dimension ref="A3:C20"/>
  <sheetViews>
    <sheetView workbookViewId="0">
      <selection activeCell="A3" sqref="A3"/>
    </sheetView>
  </sheetViews>
  <sheetFormatPr defaultRowHeight="14.4" x14ac:dyDescent="0.3"/>
  <sheetData>
    <row r="3" spans="1:3" x14ac:dyDescent="0.3">
      <c r="A3" s="4"/>
      <c r="B3" s="5"/>
      <c r="C3" s="6"/>
    </row>
    <row r="4" spans="1:3" x14ac:dyDescent="0.3">
      <c r="A4" s="7"/>
      <c r="B4" s="8"/>
      <c r="C4" s="9"/>
    </row>
    <row r="5" spans="1:3" x14ac:dyDescent="0.3">
      <c r="A5" s="7"/>
      <c r="B5" s="8"/>
      <c r="C5" s="9"/>
    </row>
    <row r="6" spans="1:3" x14ac:dyDescent="0.3">
      <c r="A6" s="7"/>
      <c r="B6" s="8"/>
      <c r="C6" s="9"/>
    </row>
    <row r="7" spans="1:3" x14ac:dyDescent="0.3">
      <c r="A7" s="7"/>
      <c r="B7" s="8"/>
      <c r="C7" s="9"/>
    </row>
    <row r="8" spans="1:3" x14ac:dyDescent="0.3">
      <c r="A8" s="7"/>
      <c r="B8" s="8"/>
      <c r="C8" s="9"/>
    </row>
    <row r="9" spans="1:3" x14ac:dyDescent="0.3">
      <c r="A9" s="7"/>
      <c r="B9" s="8"/>
      <c r="C9" s="9"/>
    </row>
    <row r="10" spans="1:3" x14ac:dyDescent="0.3">
      <c r="A10" s="7"/>
      <c r="B10" s="8"/>
      <c r="C10" s="9"/>
    </row>
    <row r="11" spans="1:3" x14ac:dyDescent="0.3">
      <c r="A11" s="7"/>
      <c r="B11" s="8"/>
      <c r="C11" s="9"/>
    </row>
    <row r="12" spans="1:3" x14ac:dyDescent="0.3">
      <c r="A12" s="7"/>
      <c r="B12" s="8"/>
      <c r="C12" s="9"/>
    </row>
    <row r="13" spans="1:3" x14ac:dyDescent="0.3">
      <c r="A13" s="7"/>
      <c r="B13" s="8"/>
      <c r="C13" s="9"/>
    </row>
    <row r="14" spans="1:3" x14ac:dyDescent="0.3">
      <c r="A14" s="7"/>
      <c r="B14" s="8"/>
      <c r="C14" s="9"/>
    </row>
    <row r="15" spans="1:3" x14ac:dyDescent="0.3">
      <c r="A15" s="7"/>
      <c r="B15" s="8"/>
      <c r="C15" s="9"/>
    </row>
    <row r="16" spans="1:3" x14ac:dyDescent="0.3">
      <c r="A16" s="7"/>
      <c r="B16" s="8"/>
      <c r="C16" s="9"/>
    </row>
    <row r="17" spans="1:3" x14ac:dyDescent="0.3">
      <c r="A17" s="7"/>
      <c r="B17" s="8"/>
      <c r="C17" s="9"/>
    </row>
    <row r="18" spans="1:3" x14ac:dyDescent="0.3">
      <c r="A18" s="7"/>
      <c r="B18" s="8"/>
      <c r="C18" s="9"/>
    </row>
    <row r="19" spans="1:3" x14ac:dyDescent="0.3">
      <c r="A19" s="7"/>
      <c r="B19" s="8"/>
      <c r="C19" s="9"/>
    </row>
    <row r="20" spans="1:3" x14ac:dyDescent="0.3">
      <c r="A20" s="10"/>
      <c r="B20" s="11"/>
      <c r="C20"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ACCFB-6916-4DF4-9B6C-4238BD2A86F4}">
  <dimension ref="A1:K144"/>
  <sheetViews>
    <sheetView topLeftCell="E1" zoomScale="68" workbookViewId="0">
      <selection activeCell="D145" sqref="D145"/>
    </sheetView>
  </sheetViews>
  <sheetFormatPr defaultRowHeight="14.4" x14ac:dyDescent="0.3"/>
  <cols>
    <col min="1" max="1" width="10.88671875" bestFit="1" customWidth="1"/>
    <col min="2" max="2" width="11" bestFit="1" customWidth="1"/>
    <col min="3" max="3" width="7.21875" style="3" bestFit="1" customWidth="1"/>
    <col min="4" max="4" width="13.21875" bestFit="1" customWidth="1"/>
    <col min="5" max="5" width="7.77734375" bestFit="1" customWidth="1"/>
    <col min="6" max="6" width="7.6640625" bestFit="1" customWidth="1"/>
    <col min="7" max="7" width="18.77734375" bestFit="1" customWidth="1"/>
    <col min="8" max="8" width="14.88671875" bestFit="1" customWidth="1"/>
    <col min="9" max="9" width="16.5546875" bestFit="1" customWidth="1"/>
    <col min="10" max="10" width="10" bestFit="1" customWidth="1"/>
    <col min="11" max="11" width="10.77734375" bestFit="1" customWidth="1"/>
  </cols>
  <sheetData>
    <row r="1" spans="1:11" x14ac:dyDescent="0.3">
      <c r="A1" t="s">
        <v>176</v>
      </c>
      <c r="B1" t="s">
        <v>0</v>
      </c>
      <c r="C1" s="3" t="s">
        <v>249</v>
      </c>
      <c r="D1" t="s">
        <v>250</v>
      </c>
      <c r="E1" t="s">
        <v>251</v>
      </c>
      <c r="F1" t="s">
        <v>252</v>
      </c>
      <c r="G1" t="s">
        <v>253</v>
      </c>
      <c r="H1" t="s">
        <v>254</v>
      </c>
      <c r="I1" t="s">
        <v>255</v>
      </c>
      <c r="J1" t="s">
        <v>256</v>
      </c>
      <c r="K1" t="s">
        <v>257</v>
      </c>
    </row>
    <row r="2" spans="1:11" x14ac:dyDescent="0.3">
      <c r="A2" s="1" t="s">
        <v>189</v>
      </c>
      <c r="B2" s="1" t="s">
        <v>30</v>
      </c>
      <c r="C2" s="3" t="s">
        <v>258</v>
      </c>
      <c r="D2" s="1" t="s">
        <v>259</v>
      </c>
      <c r="E2" s="1" t="s">
        <v>260</v>
      </c>
      <c r="F2" s="1" t="s">
        <v>261</v>
      </c>
      <c r="G2" s="1" t="s">
        <v>262</v>
      </c>
      <c r="H2" s="1" t="s">
        <v>263</v>
      </c>
      <c r="I2" s="1" t="s">
        <v>263</v>
      </c>
      <c r="J2" s="1" t="s">
        <v>263</v>
      </c>
      <c r="K2" s="1" t="s">
        <v>263</v>
      </c>
    </row>
    <row r="3" spans="1:11" x14ac:dyDescent="0.3">
      <c r="A3" s="1" t="s">
        <v>190</v>
      </c>
      <c r="B3" s="1" t="s">
        <v>103</v>
      </c>
      <c r="C3" s="3" t="s">
        <v>264</v>
      </c>
      <c r="D3" s="1" t="s">
        <v>258</v>
      </c>
      <c r="E3" s="1" t="s">
        <v>265</v>
      </c>
      <c r="F3" s="1" t="s">
        <v>266</v>
      </c>
      <c r="G3" s="1" t="s">
        <v>267</v>
      </c>
      <c r="H3" s="1" t="s">
        <v>263</v>
      </c>
      <c r="I3" s="1" t="s">
        <v>263</v>
      </c>
      <c r="J3" s="1" t="s">
        <v>263</v>
      </c>
      <c r="K3" s="1" t="s">
        <v>263</v>
      </c>
    </row>
    <row r="4" spans="1:11" x14ac:dyDescent="0.3">
      <c r="A4" s="1" t="s">
        <v>191</v>
      </c>
      <c r="B4" s="1" t="s">
        <v>55</v>
      </c>
      <c r="C4" s="3" t="s">
        <v>268</v>
      </c>
      <c r="D4" s="1" t="s">
        <v>269</v>
      </c>
      <c r="E4" s="1" t="s">
        <v>270</v>
      </c>
      <c r="F4" s="1" t="s">
        <v>261</v>
      </c>
      <c r="G4" s="1" t="s">
        <v>271</v>
      </c>
      <c r="H4" s="1" t="s">
        <v>266</v>
      </c>
      <c r="I4" s="1" t="s">
        <v>272</v>
      </c>
      <c r="J4" s="1" t="s">
        <v>261</v>
      </c>
      <c r="K4" s="1" t="s">
        <v>273</v>
      </c>
    </row>
    <row r="5" spans="1:11" x14ac:dyDescent="0.3">
      <c r="A5" s="1" t="s">
        <v>192</v>
      </c>
      <c r="B5" s="1" t="s">
        <v>74</v>
      </c>
      <c r="C5" s="3" t="s">
        <v>274</v>
      </c>
      <c r="D5" s="1" t="s">
        <v>275</v>
      </c>
      <c r="E5" s="1" t="s">
        <v>276</v>
      </c>
      <c r="F5" s="1" t="s">
        <v>270</v>
      </c>
      <c r="G5" s="1" t="s">
        <v>277</v>
      </c>
      <c r="H5" s="1" t="s">
        <v>263</v>
      </c>
      <c r="I5" s="1" t="s">
        <v>263</v>
      </c>
      <c r="J5" s="1" t="s">
        <v>263</v>
      </c>
      <c r="K5" s="1" t="s">
        <v>263</v>
      </c>
    </row>
    <row r="6" spans="1:11" x14ac:dyDescent="0.3">
      <c r="A6" s="1" t="s">
        <v>193</v>
      </c>
      <c r="B6" s="1" t="s">
        <v>83</v>
      </c>
      <c r="C6" s="3" t="s">
        <v>278</v>
      </c>
      <c r="D6" s="1" t="s">
        <v>279</v>
      </c>
      <c r="E6" s="1" t="s">
        <v>280</v>
      </c>
      <c r="F6" s="1" t="s">
        <v>261</v>
      </c>
      <c r="G6" s="1" t="s">
        <v>281</v>
      </c>
      <c r="H6" s="1" t="s">
        <v>263</v>
      </c>
      <c r="I6" s="1" t="s">
        <v>263</v>
      </c>
      <c r="J6" s="1" t="s">
        <v>263</v>
      </c>
      <c r="K6" s="1" t="s">
        <v>263</v>
      </c>
    </row>
    <row r="7" spans="1:11" x14ac:dyDescent="0.3">
      <c r="A7" s="1" t="s">
        <v>194</v>
      </c>
      <c r="B7" s="1" t="s">
        <v>58</v>
      </c>
      <c r="C7" s="3" t="s">
        <v>269</v>
      </c>
      <c r="D7" s="1" t="s">
        <v>265</v>
      </c>
      <c r="E7" s="1" t="s">
        <v>282</v>
      </c>
      <c r="F7" s="1" t="s">
        <v>282</v>
      </c>
      <c r="G7" s="1" t="s">
        <v>283</v>
      </c>
      <c r="H7" s="1" t="s">
        <v>266</v>
      </c>
      <c r="I7" s="1" t="s">
        <v>284</v>
      </c>
      <c r="J7" s="1" t="s">
        <v>270</v>
      </c>
      <c r="K7" s="1" t="s">
        <v>285</v>
      </c>
    </row>
    <row r="8" spans="1:11" x14ac:dyDescent="0.3">
      <c r="A8" s="1" t="s">
        <v>195</v>
      </c>
      <c r="B8" s="1" t="s">
        <v>33</v>
      </c>
      <c r="C8" s="3" t="s">
        <v>263</v>
      </c>
      <c r="D8" s="1" t="s">
        <v>263</v>
      </c>
      <c r="E8" s="1" t="s">
        <v>263</v>
      </c>
      <c r="F8" s="1" t="s">
        <v>263</v>
      </c>
      <c r="G8" s="1" t="s">
        <v>263</v>
      </c>
      <c r="H8" s="1" t="s">
        <v>266</v>
      </c>
      <c r="I8" s="1" t="s">
        <v>286</v>
      </c>
      <c r="J8" s="1" t="s">
        <v>261</v>
      </c>
      <c r="K8" s="1" t="s">
        <v>260</v>
      </c>
    </row>
    <row r="9" spans="1:11" x14ac:dyDescent="0.3">
      <c r="A9" s="1" t="s">
        <v>196</v>
      </c>
      <c r="B9" s="1" t="s">
        <v>101</v>
      </c>
      <c r="C9" s="3" t="s">
        <v>287</v>
      </c>
      <c r="D9" s="1" t="s">
        <v>288</v>
      </c>
      <c r="E9" s="1" t="s">
        <v>261</v>
      </c>
      <c r="F9" s="1" t="s">
        <v>289</v>
      </c>
      <c r="G9" s="1" t="s">
        <v>290</v>
      </c>
      <c r="H9" s="1" t="s">
        <v>263</v>
      </c>
      <c r="I9" s="1" t="s">
        <v>263</v>
      </c>
      <c r="J9" s="1" t="s">
        <v>263</v>
      </c>
      <c r="K9" s="1" t="s">
        <v>263</v>
      </c>
    </row>
    <row r="10" spans="1:11" x14ac:dyDescent="0.3">
      <c r="A10" s="1" t="s">
        <v>197</v>
      </c>
      <c r="B10" s="1" t="s">
        <v>60</v>
      </c>
      <c r="C10" s="3" t="s">
        <v>263</v>
      </c>
      <c r="D10" s="1" t="s">
        <v>263</v>
      </c>
      <c r="E10" s="1" t="s">
        <v>263</v>
      </c>
      <c r="F10" s="1" t="s">
        <v>263</v>
      </c>
      <c r="G10" s="1" t="s">
        <v>263</v>
      </c>
      <c r="H10" s="1" t="s">
        <v>291</v>
      </c>
      <c r="I10" s="1" t="s">
        <v>292</v>
      </c>
      <c r="J10" s="1" t="s">
        <v>266</v>
      </c>
      <c r="K10" s="1" t="s">
        <v>293</v>
      </c>
    </row>
    <row r="11" spans="1:11" x14ac:dyDescent="0.3">
      <c r="A11" s="1" t="s">
        <v>198</v>
      </c>
      <c r="B11" s="1" t="s">
        <v>66</v>
      </c>
      <c r="C11" s="3" t="s">
        <v>263</v>
      </c>
      <c r="D11" s="1" t="s">
        <v>263</v>
      </c>
      <c r="E11" s="1" t="s">
        <v>263</v>
      </c>
      <c r="F11" s="1" t="s">
        <v>263</v>
      </c>
      <c r="G11" s="1" t="s">
        <v>263</v>
      </c>
      <c r="H11" s="1" t="s">
        <v>266</v>
      </c>
      <c r="I11" s="1" t="s">
        <v>294</v>
      </c>
      <c r="J11" s="1" t="s">
        <v>270</v>
      </c>
      <c r="K11" s="1" t="s">
        <v>295</v>
      </c>
    </row>
    <row r="12" spans="1:11" x14ac:dyDescent="0.3">
      <c r="A12" s="1" t="s">
        <v>199</v>
      </c>
      <c r="B12" s="1" t="s">
        <v>85</v>
      </c>
      <c r="C12" s="3" t="s">
        <v>296</v>
      </c>
      <c r="D12" s="1" t="s">
        <v>297</v>
      </c>
      <c r="E12" s="1" t="s">
        <v>289</v>
      </c>
      <c r="F12" s="1" t="s">
        <v>266</v>
      </c>
      <c r="G12" s="1" t="s">
        <v>298</v>
      </c>
      <c r="H12" s="1" t="s">
        <v>263</v>
      </c>
      <c r="I12" s="1" t="s">
        <v>263</v>
      </c>
      <c r="J12" s="1" t="s">
        <v>263</v>
      </c>
      <c r="K12" s="1" t="s">
        <v>263</v>
      </c>
    </row>
    <row r="13" spans="1:11" x14ac:dyDescent="0.3">
      <c r="A13" s="1" t="s">
        <v>200</v>
      </c>
      <c r="B13" s="1" t="s">
        <v>36</v>
      </c>
      <c r="C13" s="3" t="s">
        <v>299</v>
      </c>
      <c r="D13" s="1" t="s">
        <v>259</v>
      </c>
      <c r="E13" s="1" t="s">
        <v>266</v>
      </c>
      <c r="F13" s="1" t="s">
        <v>282</v>
      </c>
      <c r="G13" s="1" t="s">
        <v>300</v>
      </c>
      <c r="H13" s="1" t="s">
        <v>263</v>
      </c>
      <c r="I13" s="1" t="s">
        <v>263</v>
      </c>
      <c r="J13" s="1" t="s">
        <v>263</v>
      </c>
      <c r="K13" s="1" t="s">
        <v>263</v>
      </c>
    </row>
    <row r="14" spans="1:11" x14ac:dyDescent="0.3">
      <c r="A14" s="1" t="s">
        <v>201</v>
      </c>
      <c r="B14" s="1" t="s">
        <v>42</v>
      </c>
      <c r="C14" s="3" t="s">
        <v>301</v>
      </c>
      <c r="D14" s="1" t="s">
        <v>302</v>
      </c>
      <c r="E14" s="1" t="s">
        <v>303</v>
      </c>
      <c r="F14" s="1" t="s">
        <v>261</v>
      </c>
      <c r="G14" s="1" t="s">
        <v>304</v>
      </c>
      <c r="H14" s="1" t="s">
        <v>263</v>
      </c>
      <c r="I14" s="1" t="s">
        <v>263</v>
      </c>
      <c r="J14" s="1" t="s">
        <v>263</v>
      </c>
      <c r="K14" s="1" t="s">
        <v>263</v>
      </c>
    </row>
    <row r="15" spans="1:11" x14ac:dyDescent="0.3">
      <c r="A15" s="1" t="s">
        <v>202</v>
      </c>
      <c r="B15" s="1" t="s">
        <v>8</v>
      </c>
      <c r="C15" s="3" t="s">
        <v>278</v>
      </c>
      <c r="D15" s="1" t="s">
        <v>299</v>
      </c>
      <c r="E15" s="1" t="s">
        <v>305</v>
      </c>
      <c r="F15" s="1" t="s">
        <v>266</v>
      </c>
      <c r="G15" s="1" t="s">
        <v>306</v>
      </c>
      <c r="H15" s="1" t="s">
        <v>263</v>
      </c>
      <c r="I15" s="1" t="s">
        <v>263</v>
      </c>
      <c r="J15" s="1" t="s">
        <v>263</v>
      </c>
      <c r="K15" s="1" t="s">
        <v>263</v>
      </c>
    </row>
    <row r="16" spans="1:11" x14ac:dyDescent="0.3">
      <c r="A16" s="1" t="s">
        <v>203</v>
      </c>
      <c r="B16" s="1" t="s">
        <v>96</v>
      </c>
      <c r="C16" s="3" t="s">
        <v>274</v>
      </c>
      <c r="D16" s="1" t="s">
        <v>275</v>
      </c>
      <c r="E16" s="1" t="s">
        <v>260</v>
      </c>
      <c r="F16" s="1" t="s">
        <v>270</v>
      </c>
      <c r="G16" s="1" t="s">
        <v>277</v>
      </c>
      <c r="H16" s="1" t="s">
        <v>263</v>
      </c>
      <c r="I16" s="1" t="s">
        <v>263</v>
      </c>
      <c r="J16" s="1" t="s">
        <v>263</v>
      </c>
      <c r="K16" s="1" t="s">
        <v>263</v>
      </c>
    </row>
    <row r="17" spans="1:11" x14ac:dyDescent="0.3">
      <c r="A17" s="1" t="s">
        <v>204</v>
      </c>
      <c r="B17" s="1" t="s">
        <v>88</v>
      </c>
      <c r="C17" s="3" t="s">
        <v>263</v>
      </c>
      <c r="D17" s="1" t="s">
        <v>263</v>
      </c>
      <c r="E17" s="1" t="s">
        <v>263</v>
      </c>
      <c r="F17" s="1" t="s">
        <v>263</v>
      </c>
      <c r="G17" s="1" t="s">
        <v>263</v>
      </c>
      <c r="H17" s="1" t="s">
        <v>266</v>
      </c>
      <c r="I17" s="1" t="s">
        <v>284</v>
      </c>
      <c r="J17" s="1" t="s">
        <v>261</v>
      </c>
      <c r="K17" s="1" t="s">
        <v>285</v>
      </c>
    </row>
    <row r="18" spans="1:11" x14ac:dyDescent="0.3">
      <c r="A18" s="1" t="s">
        <v>205</v>
      </c>
      <c r="B18" s="1" t="s">
        <v>30</v>
      </c>
      <c r="C18" s="3" t="s">
        <v>307</v>
      </c>
      <c r="D18" s="1" t="s">
        <v>308</v>
      </c>
      <c r="E18" s="1" t="s">
        <v>289</v>
      </c>
      <c r="F18" s="1" t="s">
        <v>261</v>
      </c>
      <c r="G18" s="1" t="s">
        <v>306</v>
      </c>
      <c r="H18" s="1" t="s">
        <v>263</v>
      </c>
      <c r="I18" s="1" t="s">
        <v>263</v>
      </c>
      <c r="J18" s="1" t="s">
        <v>263</v>
      </c>
      <c r="K18" s="1" t="s">
        <v>263</v>
      </c>
    </row>
    <row r="19" spans="1:11" x14ac:dyDescent="0.3">
      <c r="A19" s="1" t="s">
        <v>206</v>
      </c>
      <c r="B19" s="1" t="s">
        <v>47</v>
      </c>
      <c r="C19" s="3" t="s">
        <v>309</v>
      </c>
      <c r="D19" s="1" t="s">
        <v>275</v>
      </c>
      <c r="E19" s="1" t="s">
        <v>260</v>
      </c>
      <c r="F19" s="1" t="s">
        <v>261</v>
      </c>
      <c r="G19" s="1" t="s">
        <v>310</v>
      </c>
      <c r="H19" s="1" t="s">
        <v>263</v>
      </c>
      <c r="I19" s="1" t="s">
        <v>263</v>
      </c>
      <c r="J19" s="1" t="s">
        <v>263</v>
      </c>
      <c r="K19" s="1" t="s">
        <v>263</v>
      </c>
    </row>
    <row r="20" spans="1:11" x14ac:dyDescent="0.3">
      <c r="A20" s="1" t="s">
        <v>207</v>
      </c>
      <c r="B20" s="1" t="s">
        <v>78</v>
      </c>
      <c r="C20" s="3" t="s">
        <v>263</v>
      </c>
      <c r="D20" s="1" t="s">
        <v>263</v>
      </c>
      <c r="E20" s="1" t="s">
        <v>263</v>
      </c>
      <c r="F20" s="1" t="s">
        <v>263</v>
      </c>
      <c r="G20" s="1" t="s">
        <v>263</v>
      </c>
      <c r="H20" s="1" t="s">
        <v>266</v>
      </c>
      <c r="I20" s="1" t="s">
        <v>311</v>
      </c>
      <c r="J20" s="1" t="s">
        <v>261</v>
      </c>
      <c r="K20" s="1" t="s">
        <v>289</v>
      </c>
    </row>
    <row r="21" spans="1:11" x14ac:dyDescent="0.3">
      <c r="A21" s="1" t="s">
        <v>208</v>
      </c>
      <c r="B21" s="1" t="s">
        <v>69</v>
      </c>
      <c r="C21" s="3" t="s">
        <v>312</v>
      </c>
      <c r="D21" s="1" t="s">
        <v>308</v>
      </c>
      <c r="E21" s="1" t="s">
        <v>266</v>
      </c>
      <c r="F21" s="1" t="s">
        <v>261</v>
      </c>
      <c r="G21" s="1" t="s">
        <v>298</v>
      </c>
      <c r="H21" s="1" t="s">
        <v>263</v>
      </c>
      <c r="I21" s="1" t="s">
        <v>263</v>
      </c>
      <c r="J21" s="1" t="s">
        <v>263</v>
      </c>
      <c r="K21" s="1" t="s">
        <v>263</v>
      </c>
    </row>
    <row r="22" spans="1:11" x14ac:dyDescent="0.3">
      <c r="A22" s="1" t="s">
        <v>209</v>
      </c>
      <c r="B22" s="1" t="s">
        <v>15</v>
      </c>
      <c r="C22" s="3" t="s">
        <v>263</v>
      </c>
      <c r="D22" s="1" t="s">
        <v>263</v>
      </c>
      <c r="E22" s="1" t="s">
        <v>263</v>
      </c>
      <c r="F22" s="1" t="s">
        <v>263</v>
      </c>
      <c r="G22" s="1" t="s">
        <v>263</v>
      </c>
      <c r="H22" s="1" t="s">
        <v>266</v>
      </c>
      <c r="I22" s="1" t="s">
        <v>313</v>
      </c>
      <c r="J22" s="1" t="s">
        <v>261</v>
      </c>
      <c r="K22" s="1" t="s">
        <v>314</v>
      </c>
    </row>
    <row r="23" spans="1:11" x14ac:dyDescent="0.3">
      <c r="A23" s="1" t="s">
        <v>210</v>
      </c>
      <c r="B23" s="1" t="s">
        <v>99</v>
      </c>
      <c r="C23" s="3" t="s">
        <v>263</v>
      </c>
      <c r="D23" s="1" t="s">
        <v>263</v>
      </c>
      <c r="E23" s="1" t="s">
        <v>263</v>
      </c>
      <c r="F23" s="1" t="s">
        <v>263</v>
      </c>
      <c r="G23" s="1" t="s">
        <v>263</v>
      </c>
      <c r="H23" s="1" t="s">
        <v>266</v>
      </c>
      <c r="I23" s="1" t="s">
        <v>315</v>
      </c>
      <c r="J23" s="1" t="s">
        <v>270</v>
      </c>
      <c r="K23" s="1" t="s">
        <v>316</v>
      </c>
    </row>
    <row r="24" spans="1:11" x14ac:dyDescent="0.3">
      <c r="A24" s="1" t="s">
        <v>211</v>
      </c>
      <c r="B24" s="1" t="s">
        <v>42</v>
      </c>
      <c r="C24" s="3" t="s">
        <v>317</v>
      </c>
      <c r="D24" s="1" t="s">
        <v>307</v>
      </c>
      <c r="E24" s="1" t="s">
        <v>276</v>
      </c>
      <c r="F24" s="1" t="s">
        <v>270</v>
      </c>
      <c r="G24" s="1" t="s">
        <v>318</v>
      </c>
      <c r="H24" s="1" t="s">
        <v>263</v>
      </c>
      <c r="I24" s="1" t="s">
        <v>263</v>
      </c>
      <c r="J24" s="1" t="s">
        <v>263</v>
      </c>
      <c r="K24" s="1" t="s">
        <v>263</v>
      </c>
    </row>
    <row r="25" spans="1:11" x14ac:dyDescent="0.3">
      <c r="A25" s="1" t="s">
        <v>212</v>
      </c>
      <c r="B25" s="1" t="s">
        <v>19</v>
      </c>
      <c r="C25" s="3" t="s">
        <v>319</v>
      </c>
      <c r="D25" s="1" t="s">
        <v>297</v>
      </c>
      <c r="E25" s="1" t="s">
        <v>280</v>
      </c>
      <c r="F25" s="1" t="s">
        <v>261</v>
      </c>
      <c r="G25" s="1" t="s">
        <v>320</v>
      </c>
      <c r="H25" s="1" t="s">
        <v>263</v>
      </c>
      <c r="I25" s="1" t="s">
        <v>263</v>
      </c>
      <c r="J25" s="1" t="s">
        <v>263</v>
      </c>
      <c r="K25" s="1" t="s">
        <v>263</v>
      </c>
    </row>
    <row r="26" spans="1:11" x14ac:dyDescent="0.3">
      <c r="A26" s="1" t="s">
        <v>213</v>
      </c>
      <c r="B26" s="1" t="s">
        <v>103</v>
      </c>
      <c r="C26" s="3" t="s">
        <v>321</v>
      </c>
      <c r="D26" s="1" t="s">
        <v>312</v>
      </c>
      <c r="E26" s="1" t="s">
        <v>322</v>
      </c>
      <c r="F26" s="1" t="s">
        <v>261</v>
      </c>
      <c r="G26" s="1" t="s">
        <v>283</v>
      </c>
      <c r="H26" s="1" t="s">
        <v>263</v>
      </c>
      <c r="I26" s="1" t="s">
        <v>263</v>
      </c>
      <c r="J26" s="1" t="s">
        <v>263</v>
      </c>
      <c r="K26" s="1" t="s">
        <v>263</v>
      </c>
    </row>
    <row r="27" spans="1:11" x14ac:dyDescent="0.3">
      <c r="A27" s="1" t="s">
        <v>214</v>
      </c>
      <c r="B27" s="1" t="s">
        <v>39</v>
      </c>
      <c r="C27" s="3" t="s">
        <v>263</v>
      </c>
      <c r="D27" s="1" t="s">
        <v>263</v>
      </c>
      <c r="E27" s="1" t="s">
        <v>263</v>
      </c>
      <c r="F27" s="1" t="s">
        <v>263</v>
      </c>
      <c r="G27" s="1" t="s">
        <v>263</v>
      </c>
      <c r="H27" s="1" t="s">
        <v>266</v>
      </c>
      <c r="I27" s="1" t="s">
        <v>323</v>
      </c>
      <c r="J27" s="1" t="s">
        <v>261</v>
      </c>
      <c r="K27" s="1" t="s">
        <v>324</v>
      </c>
    </row>
    <row r="28" spans="1:11" x14ac:dyDescent="0.3">
      <c r="A28" s="1" t="s">
        <v>215</v>
      </c>
      <c r="B28" s="1" t="s">
        <v>74</v>
      </c>
      <c r="C28" s="3" t="s">
        <v>325</v>
      </c>
      <c r="D28" s="1" t="s">
        <v>326</v>
      </c>
      <c r="E28" s="1" t="s">
        <v>265</v>
      </c>
      <c r="F28" s="1" t="s">
        <v>266</v>
      </c>
      <c r="G28" s="1" t="s">
        <v>327</v>
      </c>
      <c r="H28" s="1" t="s">
        <v>263</v>
      </c>
      <c r="I28" s="1" t="s">
        <v>263</v>
      </c>
      <c r="J28" s="1" t="s">
        <v>263</v>
      </c>
      <c r="K28" s="1" t="s">
        <v>263</v>
      </c>
    </row>
    <row r="29" spans="1:11" x14ac:dyDescent="0.3">
      <c r="A29" s="1" t="s">
        <v>216</v>
      </c>
      <c r="B29" s="1" t="s">
        <v>24</v>
      </c>
      <c r="C29" s="3" t="s">
        <v>302</v>
      </c>
      <c r="D29" s="1" t="s">
        <v>328</v>
      </c>
      <c r="E29" s="1" t="s">
        <v>289</v>
      </c>
      <c r="F29" s="1" t="s">
        <v>261</v>
      </c>
      <c r="G29" s="1" t="s">
        <v>329</v>
      </c>
      <c r="H29" s="1" t="s">
        <v>263</v>
      </c>
      <c r="I29" s="1" t="s">
        <v>263</v>
      </c>
      <c r="J29" s="1" t="s">
        <v>263</v>
      </c>
      <c r="K29" s="1" t="s">
        <v>263</v>
      </c>
    </row>
    <row r="30" spans="1:11" x14ac:dyDescent="0.3">
      <c r="A30" s="1" t="s">
        <v>217</v>
      </c>
      <c r="B30" s="1" t="s">
        <v>91</v>
      </c>
      <c r="C30" s="3" t="s">
        <v>330</v>
      </c>
      <c r="D30" s="1" t="s">
        <v>331</v>
      </c>
      <c r="E30" s="1" t="s">
        <v>280</v>
      </c>
      <c r="F30" s="1" t="s">
        <v>270</v>
      </c>
      <c r="G30" s="1" t="s">
        <v>298</v>
      </c>
      <c r="H30" s="1" t="s">
        <v>263</v>
      </c>
      <c r="I30" s="1" t="s">
        <v>263</v>
      </c>
      <c r="J30" s="1" t="s">
        <v>263</v>
      </c>
      <c r="K30" s="1" t="s">
        <v>263</v>
      </c>
    </row>
    <row r="31" spans="1:11" x14ac:dyDescent="0.3">
      <c r="A31" s="1" t="s">
        <v>218</v>
      </c>
      <c r="B31" s="1" t="s">
        <v>52</v>
      </c>
      <c r="C31" s="3" t="s">
        <v>332</v>
      </c>
      <c r="D31" s="1" t="s">
        <v>297</v>
      </c>
      <c r="E31" s="1" t="s">
        <v>276</v>
      </c>
      <c r="F31" s="1" t="s">
        <v>266</v>
      </c>
      <c r="G31" s="1" t="s">
        <v>271</v>
      </c>
      <c r="H31" s="1" t="s">
        <v>263</v>
      </c>
      <c r="I31" s="1" t="s">
        <v>263</v>
      </c>
      <c r="J31" s="1" t="s">
        <v>263</v>
      </c>
      <c r="K31" s="1" t="s">
        <v>263</v>
      </c>
    </row>
    <row r="32" spans="1:11" x14ac:dyDescent="0.3">
      <c r="A32" s="1" t="s">
        <v>219</v>
      </c>
      <c r="B32" s="1" t="s">
        <v>50</v>
      </c>
      <c r="C32" s="3" t="s">
        <v>331</v>
      </c>
      <c r="D32" s="1" t="s">
        <v>323</v>
      </c>
      <c r="E32" s="1" t="s">
        <v>261</v>
      </c>
      <c r="F32" s="1" t="s">
        <v>261</v>
      </c>
      <c r="G32" s="1" t="s">
        <v>290</v>
      </c>
      <c r="H32" s="1" t="s">
        <v>263</v>
      </c>
      <c r="I32" s="1" t="s">
        <v>263</v>
      </c>
      <c r="J32" s="1" t="s">
        <v>263</v>
      </c>
      <c r="K32" s="1" t="s">
        <v>263</v>
      </c>
    </row>
    <row r="33" spans="1:11" x14ac:dyDescent="0.3">
      <c r="A33" s="1" t="s">
        <v>220</v>
      </c>
      <c r="B33" s="1" t="s">
        <v>71</v>
      </c>
      <c r="C33" s="3" t="s">
        <v>263</v>
      </c>
      <c r="D33" s="1" t="s">
        <v>263</v>
      </c>
      <c r="E33" s="1" t="s">
        <v>263</v>
      </c>
      <c r="F33" s="1" t="s">
        <v>263</v>
      </c>
      <c r="G33" s="1" t="s">
        <v>263</v>
      </c>
      <c r="H33" s="1" t="s">
        <v>266</v>
      </c>
      <c r="I33" s="1" t="s">
        <v>333</v>
      </c>
      <c r="J33" s="1" t="s">
        <v>270</v>
      </c>
      <c r="K33" s="1" t="s">
        <v>334</v>
      </c>
    </row>
    <row r="34" spans="1:11" x14ac:dyDescent="0.3">
      <c r="A34" s="1" t="s">
        <v>221</v>
      </c>
      <c r="B34" s="1" t="s">
        <v>93</v>
      </c>
      <c r="C34" s="3" t="s">
        <v>263</v>
      </c>
      <c r="D34" s="1" t="s">
        <v>263</v>
      </c>
      <c r="E34" s="1" t="s">
        <v>263</v>
      </c>
      <c r="F34" s="1" t="s">
        <v>263</v>
      </c>
      <c r="G34" s="1" t="s">
        <v>263</v>
      </c>
      <c r="H34" s="1" t="s">
        <v>266</v>
      </c>
      <c r="I34" s="1" t="s">
        <v>311</v>
      </c>
      <c r="J34" s="1" t="s">
        <v>261</v>
      </c>
      <c r="K34" s="1" t="s">
        <v>289</v>
      </c>
    </row>
    <row r="35" spans="1:11" x14ac:dyDescent="0.3">
      <c r="A35" s="1" t="s">
        <v>222</v>
      </c>
      <c r="B35" s="1" t="s">
        <v>55</v>
      </c>
      <c r="C35" s="3" t="s">
        <v>321</v>
      </c>
      <c r="D35" s="1" t="s">
        <v>299</v>
      </c>
      <c r="E35" s="1" t="s">
        <v>280</v>
      </c>
      <c r="F35" s="1" t="s">
        <v>289</v>
      </c>
      <c r="G35" s="1" t="s">
        <v>335</v>
      </c>
      <c r="H35" s="1" t="s">
        <v>266</v>
      </c>
      <c r="I35" s="1" t="s">
        <v>328</v>
      </c>
      <c r="J35" s="1" t="s">
        <v>282</v>
      </c>
      <c r="K35" s="1" t="s">
        <v>336</v>
      </c>
    </row>
    <row r="36" spans="1:11" x14ac:dyDescent="0.3">
      <c r="A36" s="1" t="s">
        <v>223</v>
      </c>
      <c r="B36" s="1" t="s">
        <v>101</v>
      </c>
      <c r="C36" s="3" t="s">
        <v>337</v>
      </c>
      <c r="D36" s="1" t="s">
        <v>302</v>
      </c>
      <c r="E36" s="1" t="s">
        <v>265</v>
      </c>
      <c r="F36" s="1" t="s">
        <v>260</v>
      </c>
      <c r="G36" s="1" t="s">
        <v>306</v>
      </c>
      <c r="H36" s="1" t="s">
        <v>263</v>
      </c>
      <c r="I36" s="1" t="s">
        <v>263</v>
      </c>
      <c r="J36" s="1" t="s">
        <v>263</v>
      </c>
      <c r="K36" s="1" t="s">
        <v>263</v>
      </c>
    </row>
    <row r="37" spans="1:11" x14ac:dyDescent="0.3">
      <c r="A37" s="1" t="s">
        <v>224</v>
      </c>
      <c r="B37" s="1" t="s">
        <v>27</v>
      </c>
      <c r="C37" s="3" t="s">
        <v>308</v>
      </c>
      <c r="D37" s="1" t="s">
        <v>311</v>
      </c>
      <c r="E37" s="1" t="s">
        <v>270</v>
      </c>
      <c r="F37" s="1" t="s">
        <v>270</v>
      </c>
      <c r="G37" s="1" t="s">
        <v>300</v>
      </c>
      <c r="H37" s="1" t="s">
        <v>266</v>
      </c>
      <c r="I37" s="1" t="s">
        <v>333</v>
      </c>
      <c r="J37" s="1" t="s">
        <v>270</v>
      </c>
      <c r="K37" s="1" t="s">
        <v>334</v>
      </c>
    </row>
    <row r="38" spans="1:11" x14ac:dyDescent="0.3">
      <c r="A38" s="1" t="s">
        <v>225</v>
      </c>
      <c r="B38" s="1" t="s">
        <v>80</v>
      </c>
      <c r="C38" s="3" t="s">
        <v>263</v>
      </c>
      <c r="D38" s="1" t="s">
        <v>263</v>
      </c>
      <c r="E38" s="1" t="s">
        <v>263</v>
      </c>
      <c r="F38" s="1" t="s">
        <v>263</v>
      </c>
      <c r="G38" s="1" t="s">
        <v>263</v>
      </c>
      <c r="H38" s="1" t="s">
        <v>291</v>
      </c>
      <c r="I38" s="1" t="s">
        <v>269</v>
      </c>
      <c r="J38" s="1" t="s">
        <v>266</v>
      </c>
      <c r="K38" s="1" t="s">
        <v>338</v>
      </c>
    </row>
    <row r="39" spans="1:11" x14ac:dyDescent="0.3">
      <c r="A39" s="1" t="s">
        <v>226</v>
      </c>
      <c r="B39" s="1" t="s">
        <v>33</v>
      </c>
      <c r="C39" s="3" t="s">
        <v>263</v>
      </c>
      <c r="D39" s="1" t="s">
        <v>263</v>
      </c>
      <c r="E39" s="1" t="s">
        <v>263</v>
      </c>
      <c r="F39" s="1" t="s">
        <v>263</v>
      </c>
      <c r="G39" s="1" t="s">
        <v>263</v>
      </c>
      <c r="H39" s="1" t="s">
        <v>266</v>
      </c>
      <c r="I39" s="1" t="s">
        <v>284</v>
      </c>
      <c r="J39" s="1" t="s">
        <v>270</v>
      </c>
      <c r="K39" s="1" t="s">
        <v>285</v>
      </c>
    </row>
    <row r="40" spans="1:11" x14ac:dyDescent="0.3">
      <c r="A40" s="1" t="s">
        <v>227</v>
      </c>
      <c r="B40" s="1" t="s">
        <v>42</v>
      </c>
      <c r="C40" s="3" t="s">
        <v>339</v>
      </c>
      <c r="D40" s="1" t="s">
        <v>302</v>
      </c>
      <c r="E40" s="1" t="s">
        <v>303</v>
      </c>
      <c r="F40" s="1" t="s">
        <v>276</v>
      </c>
      <c r="G40" s="1" t="s">
        <v>290</v>
      </c>
      <c r="H40" s="1" t="s">
        <v>263</v>
      </c>
      <c r="I40" s="1" t="s">
        <v>263</v>
      </c>
      <c r="J40" s="1" t="s">
        <v>263</v>
      </c>
      <c r="K40" s="1" t="s">
        <v>263</v>
      </c>
    </row>
    <row r="41" spans="1:11" x14ac:dyDescent="0.3">
      <c r="A41" s="1" t="s">
        <v>228</v>
      </c>
      <c r="B41" s="1" t="s">
        <v>83</v>
      </c>
      <c r="C41" s="3" t="s">
        <v>332</v>
      </c>
      <c r="D41" s="1" t="s">
        <v>307</v>
      </c>
      <c r="E41" s="1" t="s">
        <v>305</v>
      </c>
      <c r="F41" s="1" t="s">
        <v>270</v>
      </c>
      <c r="G41" s="1" t="s">
        <v>340</v>
      </c>
      <c r="H41" s="1" t="s">
        <v>263</v>
      </c>
      <c r="I41" s="1" t="s">
        <v>263</v>
      </c>
      <c r="J41" s="1" t="s">
        <v>263</v>
      </c>
      <c r="K41" s="1" t="s">
        <v>263</v>
      </c>
    </row>
    <row r="42" spans="1:11" x14ac:dyDescent="0.3">
      <c r="A42" s="1" t="s">
        <v>229</v>
      </c>
      <c r="B42" s="1" t="s">
        <v>96</v>
      </c>
      <c r="C42" s="3" t="s">
        <v>330</v>
      </c>
      <c r="D42" s="1" t="s">
        <v>275</v>
      </c>
      <c r="E42" s="1" t="s">
        <v>276</v>
      </c>
      <c r="F42" s="1" t="s">
        <v>261</v>
      </c>
      <c r="G42" s="1" t="s">
        <v>304</v>
      </c>
      <c r="H42" s="1" t="s">
        <v>263</v>
      </c>
      <c r="I42" s="1" t="s">
        <v>263</v>
      </c>
      <c r="J42" s="1" t="s">
        <v>263</v>
      </c>
      <c r="K42" s="1" t="s">
        <v>263</v>
      </c>
    </row>
    <row r="43" spans="1:11" x14ac:dyDescent="0.3">
      <c r="A43" s="1" t="s">
        <v>230</v>
      </c>
      <c r="B43" s="1" t="s">
        <v>63</v>
      </c>
      <c r="C43" s="3" t="s">
        <v>321</v>
      </c>
      <c r="D43" s="1" t="s">
        <v>312</v>
      </c>
      <c r="E43" s="1" t="s">
        <v>305</v>
      </c>
      <c r="F43" s="1" t="s">
        <v>266</v>
      </c>
      <c r="G43" s="1" t="s">
        <v>283</v>
      </c>
      <c r="H43" s="1" t="s">
        <v>263</v>
      </c>
      <c r="I43" s="1" t="s">
        <v>263</v>
      </c>
      <c r="J43" s="1" t="s">
        <v>263</v>
      </c>
      <c r="K43" s="1" t="s">
        <v>263</v>
      </c>
    </row>
    <row r="44" spans="1:11" x14ac:dyDescent="0.3">
      <c r="A44" s="1" t="s">
        <v>231</v>
      </c>
      <c r="B44" s="1" t="s">
        <v>45</v>
      </c>
      <c r="C44" s="3" t="s">
        <v>263</v>
      </c>
      <c r="D44" s="1" t="s">
        <v>263</v>
      </c>
      <c r="E44" s="1" t="s">
        <v>263</v>
      </c>
      <c r="F44" s="1" t="s">
        <v>263</v>
      </c>
      <c r="G44" s="1" t="s">
        <v>263</v>
      </c>
      <c r="H44" s="1" t="s">
        <v>266</v>
      </c>
      <c r="I44" s="1" t="s">
        <v>333</v>
      </c>
      <c r="J44" s="1" t="s">
        <v>261</v>
      </c>
      <c r="K44" s="1" t="s">
        <v>334</v>
      </c>
    </row>
    <row r="45" spans="1:11" x14ac:dyDescent="0.3">
      <c r="A45" s="1" t="s">
        <v>232</v>
      </c>
      <c r="B45" s="1" t="s">
        <v>52</v>
      </c>
      <c r="C45" s="3" t="s">
        <v>301</v>
      </c>
      <c r="D45" s="1" t="s">
        <v>307</v>
      </c>
      <c r="E45" s="1" t="s">
        <v>265</v>
      </c>
      <c r="F45" s="1" t="s">
        <v>289</v>
      </c>
      <c r="G45" s="1" t="s">
        <v>341</v>
      </c>
      <c r="H45" s="1" t="s">
        <v>263</v>
      </c>
      <c r="I45" s="1" t="s">
        <v>263</v>
      </c>
      <c r="J45" s="1" t="s">
        <v>263</v>
      </c>
      <c r="K45" s="1" t="s">
        <v>263</v>
      </c>
    </row>
    <row r="46" spans="1:11" x14ac:dyDescent="0.3">
      <c r="A46" s="1" t="s">
        <v>233</v>
      </c>
      <c r="B46" s="1" t="s">
        <v>103</v>
      </c>
      <c r="C46" s="3" t="s">
        <v>264</v>
      </c>
      <c r="D46" s="1" t="s">
        <v>258</v>
      </c>
      <c r="E46" s="1" t="s">
        <v>265</v>
      </c>
      <c r="F46" s="1" t="s">
        <v>266</v>
      </c>
      <c r="G46" s="1" t="s">
        <v>267</v>
      </c>
      <c r="H46" s="1" t="s">
        <v>263</v>
      </c>
      <c r="I46" s="1" t="s">
        <v>263</v>
      </c>
      <c r="J46" s="1" t="s">
        <v>263</v>
      </c>
      <c r="K46" s="1" t="s">
        <v>263</v>
      </c>
    </row>
    <row r="47" spans="1:11" x14ac:dyDescent="0.3">
      <c r="A47" s="1" t="s">
        <v>234</v>
      </c>
      <c r="B47" s="1" t="s">
        <v>30</v>
      </c>
      <c r="C47" s="3" t="s">
        <v>258</v>
      </c>
      <c r="D47" s="1" t="s">
        <v>259</v>
      </c>
      <c r="E47" s="1" t="s">
        <v>260</v>
      </c>
      <c r="F47" s="1" t="s">
        <v>261</v>
      </c>
      <c r="G47" s="1" t="s">
        <v>262</v>
      </c>
      <c r="H47" s="1" t="s">
        <v>263</v>
      </c>
      <c r="I47" s="1" t="s">
        <v>263</v>
      </c>
      <c r="J47" s="1" t="s">
        <v>263</v>
      </c>
      <c r="K47" s="1" t="s">
        <v>263</v>
      </c>
    </row>
    <row r="48" spans="1:11" x14ac:dyDescent="0.3">
      <c r="A48" s="1" t="s">
        <v>235</v>
      </c>
      <c r="B48" s="1" t="s">
        <v>55</v>
      </c>
      <c r="C48" s="3" t="s">
        <v>268</v>
      </c>
      <c r="D48" s="1" t="s">
        <v>269</v>
      </c>
      <c r="E48" s="1" t="s">
        <v>270</v>
      </c>
      <c r="F48" s="1" t="s">
        <v>261</v>
      </c>
      <c r="G48" s="1" t="s">
        <v>271</v>
      </c>
      <c r="H48" s="1" t="s">
        <v>266</v>
      </c>
      <c r="I48" s="1" t="s">
        <v>272</v>
      </c>
      <c r="J48" s="1" t="s">
        <v>261</v>
      </c>
      <c r="K48" s="1" t="s">
        <v>273</v>
      </c>
    </row>
    <row r="49" spans="1:11" x14ac:dyDescent="0.3">
      <c r="A49" s="1" t="s">
        <v>236</v>
      </c>
      <c r="B49" s="1" t="s">
        <v>74</v>
      </c>
      <c r="C49" s="3" t="s">
        <v>274</v>
      </c>
      <c r="D49" s="1" t="s">
        <v>275</v>
      </c>
      <c r="E49" s="1" t="s">
        <v>276</v>
      </c>
      <c r="F49" s="1" t="s">
        <v>270</v>
      </c>
      <c r="G49" s="1" t="s">
        <v>277</v>
      </c>
      <c r="H49" s="1" t="s">
        <v>263</v>
      </c>
      <c r="I49" s="1" t="s">
        <v>263</v>
      </c>
      <c r="J49" s="1" t="s">
        <v>263</v>
      </c>
      <c r="K49" s="1" t="s">
        <v>263</v>
      </c>
    </row>
    <row r="50" spans="1:11" x14ac:dyDescent="0.3">
      <c r="A50" s="1" t="s">
        <v>237</v>
      </c>
      <c r="B50" s="1" t="s">
        <v>83</v>
      </c>
      <c r="C50" s="3" t="s">
        <v>278</v>
      </c>
      <c r="D50" s="1" t="s">
        <v>279</v>
      </c>
      <c r="E50" s="1" t="s">
        <v>280</v>
      </c>
      <c r="F50" s="1" t="s">
        <v>261</v>
      </c>
      <c r="G50" s="1" t="s">
        <v>281</v>
      </c>
      <c r="H50" s="1" t="s">
        <v>263</v>
      </c>
      <c r="I50" s="1" t="s">
        <v>263</v>
      </c>
      <c r="J50" s="1" t="s">
        <v>263</v>
      </c>
      <c r="K50" s="1" t="s">
        <v>263</v>
      </c>
    </row>
    <row r="51" spans="1:11" x14ac:dyDescent="0.3">
      <c r="A51" s="1" t="s">
        <v>238</v>
      </c>
      <c r="B51" s="1" t="s">
        <v>58</v>
      </c>
      <c r="C51" s="3" t="s">
        <v>269</v>
      </c>
      <c r="D51" s="1" t="s">
        <v>265</v>
      </c>
      <c r="E51" s="1" t="s">
        <v>282</v>
      </c>
      <c r="F51" s="1" t="s">
        <v>282</v>
      </c>
      <c r="G51" s="1" t="s">
        <v>283</v>
      </c>
      <c r="H51" s="1" t="s">
        <v>266</v>
      </c>
      <c r="I51" s="1" t="s">
        <v>284</v>
      </c>
      <c r="J51" s="1" t="s">
        <v>270</v>
      </c>
      <c r="K51" s="1" t="s">
        <v>285</v>
      </c>
    </row>
    <row r="52" spans="1:11" x14ac:dyDescent="0.3">
      <c r="A52" s="1" t="s">
        <v>239</v>
      </c>
      <c r="B52" s="1" t="s">
        <v>33</v>
      </c>
      <c r="C52" s="3" t="s">
        <v>263</v>
      </c>
      <c r="D52" s="1" t="s">
        <v>263</v>
      </c>
      <c r="E52" s="1" t="s">
        <v>263</v>
      </c>
      <c r="F52" s="1" t="s">
        <v>263</v>
      </c>
      <c r="G52" s="1" t="s">
        <v>263</v>
      </c>
      <c r="H52" s="1" t="s">
        <v>266</v>
      </c>
      <c r="I52" s="1" t="s">
        <v>286</v>
      </c>
      <c r="J52" s="1" t="s">
        <v>261</v>
      </c>
      <c r="K52" s="1" t="s">
        <v>260</v>
      </c>
    </row>
    <row r="53" spans="1:11" x14ac:dyDescent="0.3">
      <c r="A53" s="1" t="s">
        <v>240</v>
      </c>
      <c r="B53" s="1" t="s">
        <v>101</v>
      </c>
      <c r="C53" s="3" t="s">
        <v>287</v>
      </c>
      <c r="D53" s="1" t="s">
        <v>288</v>
      </c>
      <c r="E53" s="1" t="s">
        <v>261</v>
      </c>
      <c r="F53" s="1" t="s">
        <v>289</v>
      </c>
      <c r="G53" s="1" t="s">
        <v>290</v>
      </c>
      <c r="H53" s="1" t="s">
        <v>263</v>
      </c>
      <c r="I53" s="1" t="s">
        <v>263</v>
      </c>
      <c r="J53" s="1" t="s">
        <v>263</v>
      </c>
      <c r="K53" s="1" t="s">
        <v>263</v>
      </c>
    </row>
    <row r="54" spans="1:11" x14ac:dyDescent="0.3">
      <c r="A54" s="1" t="s">
        <v>241</v>
      </c>
      <c r="B54" s="1" t="s">
        <v>60</v>
      </c>
      <c r="C54" s="3" t="s">
        <v>263</v>
      </c>
      <c r="D54" s="1" t="s">
        <v>263</v>
      </c>
      <c r="E54" s="1" t="s">
        <v>263</v>
      </c>
      <c r="F54" s="1" t="s">
        <v>263</v>
      </c>
      <c r="G54" s="1" t="s">
        <v>263</v>
      </c>
      <c r="H54" s="1" t="s">
        <v>291</v>
      </c>
      <c r="I54" s="1" t="s">
        <v>292</v>
      </c>
      <c r="J54" s="1" t="s">
        <v>266</v>
      </c>
      <c r="K54" s="1" t="s">
        <v>293</v>
      </c>
    </row>
    <row r="55" spans="1:11" x14ac:dyDescent="0.3">
      <c r="A55" s="1" t="s">
        <v>242</v>
      </c>
      <c r="B55" s="1" t="s">
        <v>66</v>
      </c>
      <c r="C55" s="3" t="s">
        <v>263</v>
      </c>
      <c r="D55" s="1" t="s">
        <v>263</v>
      </c>
      <c r="E55" s="1" t="s">
        <v>263</v>
      </c>
      <c r="F55" s="1" t="s">
        <v>263</v>
      </c>
      <c r="G55" s="1" t="s">
        <v>263</v>
      </c>
      <c r="H55" s="1" t="s">
        <v>266</v>
      </c>
      <c r="I55" s="1" t="s">
        <v>294</v>
      </c>
      <c r="J55" s="1" t="s">
        <v>270</v>
      </c>
      <c r="K55" s="1" t="s">
        <v>295</v>
      </c>
    </row>
    <row r="56" spans="1:11" x14ac:dyDescent="0.3">
      <c r="A56" s="1" t="s">
        <v>243</v>
      </c>
      <c r="B56" s="1" t="s">
        <v>85</v>
      </c>
      <c r="C56" s="3" t="s">
        <v>296</v>
      </c>
      <c r="D56" s="1" t="s">
        <v>297</v>
      </c>
      <c r="E56" s="1" t="s">
        <v>289</v>
      </c>
      <c r="F56" s="1" t="s">
        <v>266</v>
      </c>
      <c r="G56" s="1" t="s">
        <v>298</v>
      </c>
      <c r="H56" s="1" t="s">
        <v>263</v>
      </c>
      <c r="I56" s="1" t="s">
        <v>263</v>
      </c>
      <c r="J56" s="1" t="s">
        <v>263</v>
      </c>
      <c r="K56" s="1" t="s">
        <v>263</v>
      </c>
    </row>
    <row r="57" spans="1:11" x14ac:dyDescent="0.3">
      <c r="A57" s="1" t="s">
        <v>244</v>
      </c>
      <c r="B57" s="1" t="s">
        <v>36</v>
      </c>
      <c r="C57" s="3" t="s">
        <v>299</v>
      </c>
      <c r="D57" s="1" t="s">
        <v>259</v>
      </c>
      <c r="E57" s="1" t="s">
        <v>266</v>
      </c>
      <c r="F57" s="1" t="s">
        <v>282</v>
      </c>
      <c r="G57" s="1" t="s">
        <v>300</v>
      </c>
      <c r="H57" s="1" t="s">
        <v>263</v>
      </c>
      <c r="I57" s="1" t="s">
        <v>263</v>
      </c>
      <c r="J57" s="1" t="s">
        <v>263</v>
      </c>
      <c r="K57" s="1" t="s">
        <v>263</v>
      </c>
    </row>
    <row r="58" spans="1:11" x14ac:dyDescent="0.3">
      <c r="A58" s="1" t="s">
        <v>245</v>
      </c>
      <c r="B58" s="1" t="s">
        <v>42</v>
      </c>
      <c r="C58" s="3" t="s">
        <v>301</v>
      </c>
      <c r="D58" s="1" t="s">
        <v>302</v>
      </c>
      <c r="E58" s="1" t="s">
        <v>303</v>
      </c>
      <c r="F58" s="1" t="s">
        <v>261</v>
      </c>
      <c r="G58" s="1" t="s">
        <v>304</v>
      </c>
      <c r="H58" s="1" t="s">
        <v>263</v>
      </c>
      <c r="I58" s="1" t="s">
        <v>263</v>
      </c>
      <c r="J58" s="1" t="s">
        <v>263</v>
      </c>
      <c r="K58" s="1" t="s">
        <v>263</v>
      </c>
    </row>
    <row r="59" spans="1:11" x14ac:dyDescent="0.3">
      <c r="A59" s="1" t="s">
        <v>246</v>
      </c>
      <c r="B59" s="1" t="s">
        <v>8</v>
      </c>
      <c r="C59" s="3" t="s">
        <v>278</v>
      </c>
      <c r="D59" s="1" t="s">
        <v>299</v>
      </c>
      <c r="E59" s="1" t="s">
        <v>305</v>
      </c>
      <c r="F59" s="1" t="s">
        <v>266</v>
      </c>
      <c r="G59" s="1" t="s">
        <v>306</v>
      </c>
      <c r="H59" s="1" t="s">
        <v>263</v>
      </c>
      <c r="I59" s="1" t="s">
        <v>263</v>
      </c>
      <c r="J59" s="1" t="s">
        <v>263</v>
      </c>
      <c r="K59" s="1" t="s">
        <v>263</v>
      </c>
    </row>
    <row r="60" spans="1:11" x14ac:dyDescent="0.3">
      <c r="A60" s="1" t="s">
        <v>247</v>
      </c>
      <c r="B60" s="1" t="s">
        <v>96</v>
      </c>
      <c r="C60" s="3" t="s">
        <v>274</v>
      </c>
      <c r="D60" s="1" t="s">
        <v>275</v>
      </c>
      <c r="E60" s="1" t="s">
        <v>260</v>
      </c>
      <c r="F60" s="1" t="s">
        <v>270</v>
      </c>
      <c r="G60" s="1" t="s">
        <v>277</v>
      </c>
      <c r="H60" s="1" t="s">
        <v>263</v>
      </c>
      <c r="I60" s="1" t="s">
        <v>263</v>
      </c>
      <c r="J60" s="1" t="s">
        <v>263</v>
      </c>
      <c r="K60" s="1" t="s">
        <v>263</v>
      </c>
    </row>
    <row r="61" spans="1:11" x14ac:dyDescent="0.3">
      <c r="A61" s="1" t="s">
        <v>248</v>
      </c>
      <c r="B61" s="1" t="s">
        <v>88</v>
      </c>
      <c r="C61" s="3" t="s">
        <v>263</v>
      </c>
      <c r="D61" s="1" t="s">
        <v>263</v>
      </c>
      <c r="E61" s="1" t="s">
        <v>263</v>
      </c>
      <c r="F61" s="1" t="s">
        <v>263</v>
      </c>
      <c r="G61" s="1" t="s">
        <v>263</v>
      </c>
      <c r="H61" s="1" t="s">
        <v>266</v>
      </c>
      <c r="I61" s="1" t="s">
        <v>284</v>
      </c>
      <c r="J61" s="1" t="s">
        <v>261</v>
      </c>
      <c r="K61" s="1" t="s">
        <v>285</v>
      </c>
    </row>
    <row r="62" spans="1:11" x14ac:dyDescent="0.3">
      <c r="A62" s="1" t="s">
        <v>342</v>
      </c>
      <c r="B62" s="1" t="s">
        <v>30</v>
      </c>
      <c r="C62" s="3" t="s">
        <v>302</v>
      </c>
      <c r="D62" s="1" t="s">
        <v>328</v>
      </c>
      <c r="E62" s="1" t="s">
        <v>276</v>
      </c>
      <c r="F62" s="1" t="s">
        <v>270</v>
      </c>
      <c r="G62" s="1" t="s">
        <v>329</v>
      </c>
      <c r="H62" s="1" t="s">
        <v>263</v>
      </c>
      <c r="I62" s="1" t="s">
        <v>263</v>
      </c>
      <c r="J62" s="1" t="s">
        <v>263</v>
      </c>
      <c r="K62" s="1" t="s">
        <v>263</v>
      </c>
    </row>
    <row r="63" spans="1:11" x14ac:dyDescent="0.3">
      <c r="A63" s="1" t="s">
        <v>343</v>
      </c>
      <c r="B63" s="1" t="s">
        <v>103</v>
      </c>
      <c r="C63" s="3" t="s">
        <v>296</v>
      </c>
      <c r="D63" s="1" t="s">
        <v>297</v>
      </c>
      <c r="E63" s="1" t="s">
        <v>280</v>
      </c>
      <c r="F63" s="1" t="s">
        <v>261</v>
      </c>
      <c r="G63" s="1" t="s">
        <v>298</v>
      </c>
      <c r="H63" s="1" t="s">
        <v>263</v>
      </c>
      <c r="I63" s="1" t="s">
        <v>263</v>
      </c>
      <c r="J63" s="1" t="s">
        <v>263</v>
      </c>
      <c r="K63" s="1" t="s">
        <v>263</v>
      </c>
    </row>
    <row r="64" spans="1:11" x14ac:dyDescent="0.3">
      <c r="A64" s="1" t="s">
        <v>344</v>
      </c>
      <c r="B64" s="1" t="s">
        <v>55</v>
      </c>
      <c r="C64" s="3" t="s">
        <v>297</v>
      </c>
      <c r="D64" s="1" t="s">
        <v>333</v>
      </c>
      <c r="E64" s="1" t="s">
        <v>261</v>
      </c>
      <c r="F64" s="1" t="s">
        <v>266</v>
      </c>
      <c r="G64" s="1" t="s">
        <v>283</v>
      </c>
      <c r="H64" s="1" t="s">
        <v>266</v>
      </c>
      <c r="I64" s="1" t="s">
        <v>328</v>
      </c>
      <c r="J64" s="1" t="s">
        <v>270</v>
      </c>
      <c r="K64" s="1" t="s">
        <v>336</v>
      </c>
    </row>
    <row r="65" spans="1:11" x14ac:dyDescent="0.3">
      <c r="A65" s="1" t="s">
        <v>345</v>
      </c>
      <c r="B65" s="1" t="s">
        <v>74</v>
      </c>
      <c r="C65" s="3" t="s">
        <v>321</v>
      </c>
      <c r="D65" s="1" t="s">
        <v>312</v>
      </c>
      <c r="E65" s="1" t="s">
        <v>305</v>
      </c>
      <c r="F65" s="1" t="s">
        <v>261</v>
      </c>
      <c r="G65" s="1" t="s">
        <v>283</v>
      </c>
      <c r="H65" s="1" t="s">
        <v>263</v>
      </c>
      <c r="I65" s="1" t="s">
        <v>263</v>
      </c>
      <c r="J65" s="1" t="s">
        <v>263</v>
      </c>
      <c r="K65" s="1" t="s">
        <v>263</v>
      </c>
    </row>
    <row r="66" spans="1:11" x14ac:dyDescent="0.3">
      <c r="A66" s="1" t="s">
        <v>346</v>
      </c>
      <c r="B66" s="1" t="s">
        <v>83</v>
      </c>
      <c r="C66" s="3" t="s">
        <v>312</v>
      </c>
      <c r="D66" s="1" t="s">
        <v>308</v>
      </c>
      <c r="E66" s="1" t="s">
        <v>289</v>
      </c>
      <c r="F66" s="1" t="s">
        <v>270</v>
      </c>
      <c r="G66" s="1" t="s">
        <v>298</v>
      </c>
      <c r="H66" s="1" t="s">
        <v>263</v>
      </c>
      <c r="I66" s="1" t="s">
        <v>263</v>
      </c>
      <c r="J66" s="1" t="s">
        <v>263</v>
      </c>
      <c r="K66" s="1" t="s">
        <v>263</v>
      </c>
    </row>
    <row r="67" spans="1:11" x14ac:dyDescent="0.3">
      <c r="A67" s="1" t="s">
        <v>347</v>
      </c>
      <c r="B67" s="1" t="s">
        <v>58</v>
      </c>
      <c r="C67" s="3" t="s">
        <v>333</v>
      </c>
      <c r="D67" s="1" t="s">
        <v>348</v>
      </c>
      <c r="E67" s="1" t="s">
        <v>270</v>
      </c>
      <c r="F67" s="1" t="s">
        <v>270</v>
      </c>
      <c r="G67" s="1" t="s">
        <v>298</v>
      </c>
      <c r="H67" s="1" t="s">
        <v>266</v>
      </c>
      <c r="I67" s="1" t="s">
        <v>311</v>
      </c>
      <c r="J67" s="1" t="s">
        <v>261</v>
      </c>
      <c r="K67" s="1" t="s">
        <v>289</v>
      </c>
    </row>
    <row r="68" spans="1:11" x14ac:dyDescent="0.3">
      <c r="A68" s="1" t="s">
        <v>349</v>
      </c>
      <c r="B68" s="1" t="s">
        <v>33</v>
      </c>
      <c r="C68" s="3" t="s">
        <v>263</v>
      </c>
      <c r="D68" s="1" t="s">
        <v>263</v>
      </c>
      <c r="E68" s="1" t="s">
        <v>263</v>
      </c>
      <c r="F68" s="1" t="s">
        <v>263</v>
      </c>
      <c r="G68" s="1" t="s">
        <v>263</v>
      </c>
      <c r="H68" s="1" t="s">
        <v>266</v>
      </c>
      <c r="I68" s="1" t="s">
        <v>333</v>
      </c>
      <c r="J68" s="1" t="s">
        <v>261</v>
      </c>
      <c r="K68" s="1" t="s">
        <v>334</v>
      </c>
    </row>
    <row r="69" spans="1:11" x14ac:dyDescent="0.3">
      <c r="A69" s="1" t="s">
        <v>350</v>
      </c>
      <c r="B69" s="1" t="s">
        <v>101</v>
      </c>
      <c r="C69" s="3" t="s">
        <v>275</v>
      </c>
      <c r="D69" s="1" t="s">
        <v>311</v>
      </c>
      <c r="E69" s="1" t="s">
        <v>266</v>
      </c>
      <c r="F69" s="1" t="s">
        <v>261</v>
      </c>
      <c r="G69" s="1" t="s">
        <v>290</v>
      </c>
      <c r="H69" s="1" t="s">
        <v>263</v>
      </c>
      <c r="I69" s="1" t="s">
        <v>263</v>
      </c>
      <c r="J69" s="1" t="s">
        <v>263</v>
      </c>
      <c r="K69" s="1" t="s">
        <v>263</v>
      </c>
    </row>
    <row r="70" spans="1:11" x14ac:dyDescent="0.3">
      <c r="A70" s="1" t="s">
        <v>351</v>
      </c>
      <c r="B70" s="1" t="s">
        <v>60</v>
      </c>
      <c r="C70" s="3" t="s">
        <v>263</v>
      </c>
      <c r="D70" s="1" t="s">
        <v>263</v>
      </c>
      <c r="E70" s="1" t="s">
        <v>263</v>
      </c>
      <c r="F70" s="1" t="s">
        <v>263</v>
      </c>
      <c r="G70" s="1" t="s">
        <v>263</v>
      </c>
      <c r="H70" s="1" t="s">
        <v>266</v>
      </c>
      <c r="I70" s="1" t="s">
        <v>284</v>
      </c>
      <c r="J70" s="1" t="s">
        <v>261</v>
      </c>
      <c r="K70" s="1" t="s">
        <v>285</v>
      </c>
    </row>
    <row r="71" spans="1:11" x14ac:dyDescent="0.3">
      <c r="A71" s="1" t="s">
        <v>352</v>
      </c>
      <c r="B71" s="1" t="s">
        <v>66</v>
      </c>
      <c r="C71" s="3" t="s">
        <v>263</v>
      </c>
      <c r="D71" s="1" t="s">
        <v>263</v>
      </c>
      <c r="E71" s="1" t="s">
        <v>263</v>
      </c>
      <c r="F71" s="1" t="s">
        <v>263</v>
      </c>
      <c r="G71" s="1" t="s">
        <v>263</v>
      </c>
      <c r="H71" s="1" t="s">
        <v>266</v>
      </c>
      <c r="I71" s="1" t="s">
        <v>348</v>
      </c>
      <c r="J71" s="1" t="s">
        <v>270</v>
      </c>
      <c r="K71" s="1" t="s">
        <v>353</v>
      </c>
    </row>
    <row r="72" spans="1:11" x14ac:dyDescent="0.3">
      <c r="A72" s="1" t="s">
        <v>354</v>
      </c>
      <c r="B72" s="1" t="s">
        <v>85</v>
      </c>
      <c r="C72" s="3" t="s">
        <v>274</v>
      </c>
      <c r="D72" s="1" t="s">
        <v>275</v>
      </c>
      <c r="E72" s="1" t="s">
        <v>260</v>
      </c>
      <c r="F72" s="1" t="s">
        <v>261</v>
      </c>
      <c r="G72" s="1" t="s">
        <v>277</v>
      </c>
      <c r="H72" s="1" t="s">
        <v>263</v>
      </c>
      <c r="I72" s="1" t="s">
        <v>263</v>
      </c>
      <c r="J72" s="1" t="s">
        <v>263</v>
      </c>
      <c r="K72" s="1" t="s">
        <v>263</v>
      </c>
    </row>
    <row r="73" spans="1:11" x14ac:dyDescent="0.3">
      <c r="A73" s="1" t="s">
        <v>355</v>
      </c>
      <c r="B73" s="1" t="s">
        <v>36</v>
      </c>
      <c r="C73" s="3" t="s">
        <v>307</v>
      </c>
      <c r="D73" s="1" t="s">
        <v>328</v>
      </c>
      <c r="E73" s="1" t="s">
        <v>289</v>
      </c>
      <c r="F73" s="1" t="s">
        <v>270</v>
      </c>
      <c r="G73" s="1" t="s">
        <v>356</v>
      </c>
      <c r="H73" s="1" t="s">
        <v>263</v>
      </c>
      <c r="I73" s="1" t="s">
        <v>263</v>
      </c>
      <c r="J73" s="1" t="s">
        <v>263</v>
      </c>
      <c r="K73" s="1" t="s">
        <v>263</v>
      </c>
    </row>
    <row r="74" spans="1:11" x14ac:dyDescent="0.3">
      <c r="A74" s="1" t="s">
        <v>357</v>
      </c>
      <c r="B74" s="1" t="s">
        <v>42</v>
      </c>
      <c r="C74" s="3" t="s">
        <v>332</v>
      </c>
      <c r="D74" s="1" t="s">
        <v>312</v>
      </c>
      <c r="E74" s="1" t="s">
        <v>280</v>
      </c>
      <c r="F74" s="1" t="s">
        <v>261</v>
      </c>
      <c r="G74" s="1" t="s">
        <v>310</v>
      </c>
      <c r="H74" s="1" t="s">
        <v>263</v>
      </c>
      <c r="I74" s="1" t="s">
        <v>263</v>
      </c>
      <c r="J74" s="1" t="s">
        <v>263</v>
      </c>
      <c r="K74" s="1" t="s">
        <v>263</v>
      </c>
    </row>
    <row r="75" spans="1:11" x14ac:dyDescent="0.3">
      <c r="A75" s="1" t="s">
        <v>358</v>
      </c>
      <c r="B75" s="1" t="s">
        <v>8</v>
      </c>
      <c r="C75" s="3" t="s">
        <v>330</v>
      </c>
      <c r="D75" s="1" t="s">
        <v>297</v>
      </c>
      <c r="E75" s="1" t="s">
        <v>276</v>
      </c>
      <c r="F75" s="1" t="s">
        <v>261</v>
      </c>
      <c r="G75" s="1" t="s">
        <v>359</v>
      </c>
      <c r="H75" s="1" t="s">
        <v>263</v>
      </c>
      <c r="I75" s="1" t="s">
        <v>263</v>
      </c>
      <c r="J75" s="1" t="s">
        <v>263</v>
      </c>
      <c r="K75" s="1" t="s">
        <v>263</v>
      </c>
    </row>
    <row r="76" spans="1:11" x14ac:dyDescent="0.3">
      <c r="A76" s="1" t="s">
        <v>360</v>
      </c>
      <c r="B76" s="1" t="s">
        <v>96</v>
      </c>
      <c r="C76" s="3" t="s">
        <v>307</v>
      </c>
      <c r="D76" s="1" t="s">
        <v>328</v>
      </c>
      <c r="E76" s="1" t="s">
        <v>289</v>
      </c>
      <c r="F76" s="1" t="s">
        <v>270</v>
      </c>
      <c r="G76" s="1" t="s">
        <v>356</v>
      </c>
      <c r="H76" s="1" t="s">
        <v>263</v>
      </c>
      <c r="I76" s="1" t="s">
        <v>263</v>
      </c>
      <c r="J76" s="1" t="s">
        <v>263</v>
      </c>
      <c r="K76" s="1" t="s">
        <v>263</v>
      </c>
    </row>
    <row r="77" spans="1:11" x14ac:dyDescent="0.3">
      <c r="A77" s="1" t="s">
        <v>361</v>
      </c>
      <c r="B77" s="1" t="s">
        <v>88</v>
      </c>
      <c r="C77" s="3" t="s">
        <v>263</v>
      </c>
      <c r="D77" s="1" t="s">
        <v>263</v>
      </c>
      <c r="E77" s="1" t="s">
        <v>263</v>
      </c>
      <c r="F77" s="1" t="s">
        <v>263</v>
      </c>
      <c r="G77" s="1" t="s">
        <v>263</v>
      </c>
      <c r="H77" s="1" t="s">
        <v>266</v>
      </c>
      <c r="I77" s="1" t="s">
        <v>288</v>
      </c>
      <c r="J77" s="1" t="s">
        <v>261</v>
      </c>
      <c r="K77" s="1" t="s">
        <v>276</v>
      </c>
    </row>
    <row r="78" spans="1:11" x14ac:dyDescent="0.3">
      <c r="A78" s="1" t="s">
        <v>362</v>
      </c>
      <c r="B78" s="1" t="s">
        <v>15</v>
      </c>
      <c r="C78" s="3" t="s">
        <v>263</v>
      </c>
      <c r="D78" s="1" t="s">
        <v>263</v>
      </c>
      <c r="E78" s="1" t="s">
        <v>263</v>
      </c>
      <c r="F78" s="1" t="s">
        <v>263</v>
      </c>
      <c r="G78" s="1" t="s">
        <v>263</v>
      </c>
      <c r="H78" s="1" t="s">
        <v>266</v>
      </c>
      <c r="I78" s="1" t="s">
        <v>333</v>
      </c>
      <c r="J78" s="1" t="s">
        <v>270</v>
      </c>
      <c r="K78" s="1" t="s">
        <v>334</v>
      </c>
    </row>
    <row r="79" spans="1:11" x14ac:dyDescent="0.3">
      <c r="A79" s="1" t="s">
        <v>363</v>
      </c>
      <c r="B79" s="1" t="s">
        <v>99</v>
      </c>
      <c r="C79" s="3" t="s">
        <v>263</v>
      </c>
      <c r="D79" s="1" t="s">
        <v>263</v>
      </c>
      <c r="E79" s="1" t="s">
        <v>263</v>
      </c>
      <c r="F79" s="1" t="s">
        <v>263</v>
      </c>
      <c r="G79" s="1" t="s">
        <v>263</v>
      </c>
      <c r="H79" s="1" t="s">
        <v>266</v>
      </c>
      <c r="I79" s="1" t="s">
        <v>328</v>
      </c>
      <c r="J79" s="1" t="s">
        <v>282</v>
      </c>
      <c r="K79" s="1" t="s">
        <v>336</v>
      </c>
    </row>
    <row r="80" spans="1:11" x14ac:dyDescent="0.3">
      <c r="A80" s="1" t="s">
        <v>364</v>
      </c>
      <c r="B80" s="1" t="s">
        <v>42</v>
      </c>
      <c r="C80" s="3" t="s">
        <v>321</v>
      </c>
      <c r="D80" s="1" t="s">
        <v>307</v>
      </c>
      <c r="E80" s="1" t="s">
        <v>305</v>
      </c>
      <c r="F80" s="1" t="s">
        <v>261</v>
      </c>
      <c r="G80" s="1" t="s">
        <v>365</v>
      </c>
      <c r="H80" s="1" t="s">
        <v>263</v>
      </c>
      <c r="I80" s="1" t="s">
        <v>263</v>
      </c>
      <c r="J80" s="1" t="s">
        <v>263</v>
      </c>
      <c r="K80" s="1" t="s">
        <v>263</v>
      </c>
    </row>
    <row r="81" spans="1:11" x14ac:dyDescent="0.3">
      <c r="A81" s="1" t="s">
        <v>366</v>
      </c>
      <c r="B81" s="1" t="s">
        <v>19</v>
      </c>
      <c r="C81" s="3" t="s">
        <v>297</v>
      </c>
      <c r="D81" s="1" t="s">
        <v>308</v>
      </c>
      <c r="E81" s="1" t="s">
        <v>266</v>
      </c>
      <c r="F81" s="1" t="s">
        <v>270</v>
      </c>
      <c r="G81" s="1" t="s">
        <v>300</v>
      </c>
      <c r="H81" s="1" t="s">
        <v>263</v>
      </c>
      <c r="I81" s="1" t="s">
        <v>263</v>
      </c>
      <c r="J81" s="1" t="s">
        <v>263</v>
      </c>
      <c r="K81" s="1" t="s">
        <v>263</v>
      </c>
    </row>
    <row r="82" spans="1:11" x14ac:dyDescent="0.3">
      <c r="A82" s="1" t="s">
        <v>367</v>
      </c>
      <c r="B82" s="1" t="s">
        <v>24</v>
      </c>
      <c r="C82" s="3" t="s">
        <v>312</v>
      </c>
      <c r="D82" s="1" t="s">
        <v>308</v>
      </c>
      <c r="E82" s="1" t="s">
        <v>289</v>
      </c>
      <c r="F82" s="1" t="s">
        <v>270</v>
      </c>
      <c r="G82" s="1" t="s">
        <v>298</v>
      </c>
      <c r="H82" s="1" t="s">
        <v>263</v>
      </c>
      <c r="I82" s="1" t="s">
        <v>263</v>
      </c>
      <c r="J82" s="1" t="s">
        <v>263</v>
      </c>
      <c r="K82" s="1" t="s">
        <v>263</v>
      </c>
    </row>
    <row r="83" spans="1:11" x14ac:dyDescent="0.3">
      <c r="A83" s="1" t="s">
        <v>368</v>
      </c>
      <c r="B83" s="1" t="s">
        <v>71</v>
      </c>
      <c r="C83" s="3" t="s">
        <v>263</v>
      </c>
      <c r="D83" s="1" t="s">
        <v>263</v>
      </c>
      <c r="E83" s="1" t="s">
        <v>263</v>
      </c>
      <c r="F83" s="1" t="s">
        <v>263</v>
      </c>
      <c r="G83" s="1" t="s">
        <v>263</v>
      </c>
      <c r="H83" s="1" t="s">
        <v>266</v>
      </c>
      <c r="I83" s="1" t="s">
        <v>311</v>
      </c>
      <c r="J83" s="1" t="s">
        <v>261</v>
      </c>
      <c r="K83" s="1" t="s">
        <v>289</v>
      </c>
    </row>
    <row r="84" spans="1:11" x14ac:dyDescent="0.3">
      <c r="A84" s="1" t="s">
        <v>369</v>
      </c>
      <c r="B84" s="1" t="s">
        <v>93</v>
      </c>
      <c r="C84" s="3" t="s">
        <v>263</v>
      </c>
      <c r="D84" s="1" t="s">
        <v>263</v>
      </c>
      <c r="E84" s="1" t="s">
        <v>263</v>
      </c>
      <c r="F84" s="1" t="s">
        <v>263</v>
      </c>
      <c r="G84" s="1" t="s">
        <v>263</v>
      </c>
      <c r="H84" s="1" t="s">
        <v>266</v>
      </c>
      <c r="I84" s="1" t="s">
        <v>284</v>
      </c>
      <c r="J84" s="1" t="s">
        <v>270</v>
      </c>
      <c r="K84" s="1" t="s">
        <v>285</v>
      </c>
    </row>
    <row r="85" spans="1:11" x14ac:dyDescent="0.3">
      <c r="A85" s="1" t="s">
        <v>370</v>
      </c>
      <c r="B85" s="1" t="s">
        <v>55</v>
      </c>
      <c r="C85" s="3" t="s">
        <v>317</v>
      </c>
      <c r="D85" s="1" t="s">
        <v>275</v>
      </c>
      <c r="E85" s="1" t="s">
        <v>280</v>
      </c>
      <c r="F85" s="1" t="s">
        <v>266</v>
      </c>
      <c r="G85" s="1" t="s">
        <v>290</v>
      </c>
      <c r="H85" s="1" t="s">
        <v>266</v>
      </c>
      <c r="I85" s="1" t="s">
        <v>308</v>
      </c>
      <c r="J85" s="1" t="s">
        <v>282</v>
      </c>
      <c r="K85" s="1" t="s">
        <v>371</v>
      </c>
    </row>
    <row r="86" spans="1:11" x14ac:dyDescent="0.3">
      <c r="A86" s="1" t="s">
        <v>372</v>
      </c>
      <c r="B86" s="1" t="s">
        <v>101</v>
      </c>
      <c r="C86" s="3" t="s">
        <v>274</v>
      </c>
      <c r="D86" s="1" t="s">
        <v>328</v>
      </c>
      <c r="E86" s="1" t="s">
        <v>260</v>
      </c>
      <c r="F86" s="1" t="s">
        <v>266</v>
      </c>
      <c r="G86" s="1" t="s">
        <v>373</v>
      </c>
      <c r="H86" s="1" t="s">
        <v>263</v>
      </c>
      <c r="I86" s="1" t="s">
        <v>263</v>
      </c>
      <c r="J86" s="1" t="s">
        <v>263</v>
      </c>
      <c r="K86" s="1" t="s">
        <v>263</v>
      </c>
    </row>
    <row r="87" spans="1:11" x14ac:dyDescent="0.3">
      <c r="A87" s="1" t="s">
        <v>374</v>
      </c>
      <c r="B87" s="1" t="s">
        <v>27</v>
      </c>
      <c r="C87" s="3" t="s">
        <v>275</v>
      </c>
      <c r="D87" s="1" t="s">
        <v>333</v>
      </c>
      <c r="E87" s="1" t="s">
        <v>261</v>
      </c>
      <c r="F87" s="1" t="s">
        <v>270</v>
      </c>
      <c r="G87" s="1" t="s">
        <v>375</v>
      </c>
      <c r="H87" s="1" t="s">
        <v>266</v>
      </c>
      <c r="I87" s="1" t="s">
        <v>308</v>
      </c>
      <c r="J87" s="1" t="s">
        <v>270</v>
      </c>
      <c r="K87" s="1" t="s">
        <v>371</v>
      </c>
    </row>
    <row r="88" spans="1:11" x14ac:dyDescent="0.3">
      <c r="A88" s="1" t="s">
        <v>376</v>
      </c>
      <c r="B88" s="1" t="s">
        <v>80</v>
      </c>
      <c r="C88" s="3" t="s">
        <v>263</v>
      </c>
      <c r="D88" s="1" t="s">
        <v>263</v>
      </c>
      <c r="E88" s="1" t="s">
        <v>263</v>
      </c>
      <c r="F88" s="1" t="s">
        <v>263</v>
      </c>
      <c r="G88" s="1" t="s">
        <v>263</v>
      </c>
      <c r="H88" s="1" t="s">
        <v>377</v>
      </c>
      <c r="I88" s="1" t="s">
        <v>348</v>
      </c>
      <c r="J88" s="1" t="s">
        <v>261</v>
      </c>
      <c r="K88" s="1" t="s">
        <v>378</v>
      </c>
    </row>
    <row r="89" spans="1:11" x14ac:dyDescent="0.3">
      <c r="A89" s="1" t="s">
        <v>379</v>
      </c>
      <c r="B89" s="1" t="s">
        <v>69</v>
      </c>
      <c r="C89" s="3" t="s">
        <v>307</v>
      </c>
      <c r="D89" s="1" t="s">
        <v>308</v>
      </c>
      <c r="E89" s="1" t="s">
        <v>289</v>
      </c>
      <c r="F89" s="1" t="s">
        <v>261</v>
      </c>
      <c r="G89" s="1" t="s">
        <v>306</v>
      </c>
      <c r="H89" s="1" t="s">
        <v>263</v>
      </c>
      <c r="I89" s="1" t="s">
        <v>263</v>
      </c>
      <c r="J89" s="1" t="s">
        <v>263</v>
      </c>
      <c r="K89" s="1" t="s">
        <v>263</v>
      </c>
    </row>
    <row r="90" spans="1:11" x14ac:dyDescent="0.3">
      <c r="A90" s="1" t="s">
        <v>380</v>
      </c>
      <c r="B90" s="1" t="s">
        <v>42</v>
      </c>
      <c r="C90" s="3" t="s">
        <v>330</v>
      </c>
      <c r="D90" s="1" t="s">
        <v>275</v>
      </c>
      <c r="E90" s="1" t="s">
        <v>276</v>
      </c>
      <c r="F90" s="1" t="s">
        <v>261</v>
      </c>
      <c r="G90" s="1" t="s">
        <v>304</v>
      </c>
      <c r="H90" s="1" t="s">
        <v>263</v>
      </c>
      <c r="I90" s="1" t="s">
        <v>263</v>
      </c>
      <c r="J90" s="1" t="s">
        <v>263</v>
      </c>
      <c r="K90" s="1" t="s">
        <v>263</v>
      </c>
    </row>
    <row r="91" spans="1:11" x14ac:dyDescent="0.3">
      <c r="A91" s="1" t="s">
        <v>381</v>
      </c>
      <c r="B91" s="1" t="s">
        <v>83</v>
      </c>
      <c r="C91" s="3" t="s">
        <v>302</v>
      </c>
      <c r="D91" s="1" t="s">
        <v>275</v>
      </c>
      <c r="E91" s="1" t="s">
        <v>260</v>
      </c>
      <c r="F91" s="1" t="s">
        <v>270</v>
      </c>
      <c r="G91" s="1" t="s">
        <v>300</v>
      </c>
      <c r="H91" s="1" t="s">
        <v>263</v>
      </c>
      <c r="I91" s="1" t="s">
        <v>263</v>
      </c>
      <c r="J91" s="1" t="s">
        <v>263</v>
      </c>
      <c r="K91" s="1" t="s">
        <v>263</v>
      </c>
    </row>
    <row r="92" spans="1:11" x14ac:dyDescent="0.3">
      <c r="A92" s="1" t="s">
        <v>382</v>
      </c>
      <c r="B92" s="1" t="s">
        <v>96</v>
      </c>
      <c r="C92" s="3" t="s">
        <v>317</v>
      </c>
      <c r="D92" s="1" t="s">
        <v>297</v>
      </c>
      <c r="E92" s="1" t="s">
        <v>280</v>
      </c>
      <c r="F92" s="1" t="s">
        <v>261</v>
      </c>
      <c r="G92" s="1" t="s">
        <v>383</v>
      </c>
      <c r="H92" s="1" t="s">
        <v>263</v>
      </c>
      <c r="I92" s="1" t="s">
        <v>263</v>
      </c>
      <c r="J92" s="1" t="s">
        <v>263</v>
      </c>
      <c r="K92" s="1" t="s">
        <v>263</v>
      </c>
    </row>
    <row r="93" spans="1:11" x14ac:dyDescent="0.3">
      <c r="A93" s="1" t="s">
        <v>384</v>
      </c>
      <c r="B93" s="1" t="s">
        <v>15</v>
      </c>
      <c r="C93" s="3" t="s">
        <v>263</v>
      </c>
      <c r="D93" s="1" t="s">
        <v>263</v>
      </c>
      <c r="E93" s="1" t="s">
        <v>263</v>
      </c>
      <c r="F93" s="1" t="s">
        <v>263</v>
      </c>
      <c r="G93" s="1" t="s">
        <v>263</v>
      </c>
      <c r="H93" s="1" t="s">
        <v>266</v>
      </c>
      <c r="I93" s="1" t="s">
        <v>288</v>
      </c>
      <c r="J93" s="1" t="s">
        <v>261</v>
      </c>
      <c r="K93" s="1" t="s">
        <v>276</v>
      </c>
    </row>
    <row r="94" spans="1:11" x14ac:dyDescent="0.3">
      <c r="A94" s="1" t="s">
        <v>385</v>
      </c>
      <c r="B94" s="1" t="s">
        <v>45</v>
      </c>
      <c r="C94" s="3" t="s">
        <v>263</v>
      </c>
      <c r="D94" s="1" t="s">
        <v>263</v>
      </c>
      <c r="E94" s="1" t="s">
        <v>263</v>
      </c>
      <c r="F94" s="1" t="s">
        <v>263</v>
      </c>
      <c r="G94" s="1" t="s">
        <v>263</v>
      </c>
      <c r="H94" s="1" t="s">
        <v>266</v>
      </c>
      <c r="I94" s="1" t="s">
        <v>308</v>
      </c>
      <c r="J94" s="1" t="s">
        <v>270</v>
      </c>
      <c r="K94" s="1" t="s">
        <v>371</v>
      </c>
    </row>
    <row r="95" spans="1:11" x14ac:dyDescent="0.3">
      <c r="A95" s="1" t="s">
        <v>386</v>
      </c>
      <c r="B95" s="1" t="s">
        <v>19</v>
      </c>
      <c r="C95" s="3" t="s">
        <v>312</v>
      </c>
      <c r="D95" s="1" t="s">
        <v>328</v>
      </c>
      <c r="E95" s="1" t="s">
        <v>289</v>
      </c>
      <c r="F95" s="1" t="s">
        <v>270</v>
      </c>
      <c r="G95" s="1" t="s">
        <v>387</v>
      </c>
      <c r="H95" s="1" t="s">
        <v>263</v>
      </c>
      <c r="I95" s="1" t="s">
        <v>263</v>
      </c>
      <c r="J95" s="1" t="s">
        <v>263</v>
      </c>
      <c r="K95" s="1" t="s">
        <v>263</v>
      </c>
    </row>
    <row r="96" spans="1:11" x14ac:dyDescent="0.3">
      <c r="A96" s="1" t="s">
        <v>388</v>
      </c>
      <c r="B96" s="1" t="s">
        <v>103</v>
      </c>
      <c r="C96" s="3" t="s">
        <v>302</v>
      </c>
      <c r="D96" s="1" t="s">
        <v>275</v>
      </c>
      <c r="E96" s="1" t="s">
        <v>260</v>
      </c>
      <c r="F96" s="1" t="s">
        <v>270</v>
      </c>
      <c r="G96" s="1" t="s">
        <v>300</v>
      </c>
      <c r="H96" s="1" t="s">
        <v>263</v>
      </c>
      <c r="I96" s="1" t="s">
        <v>263</v>
      </c>
      <c r="J96" s="1" t="s">
        <v>263</v>
      </c>
      <c r="K96" s="1" t="s">
        <v>263</v>
      </c>
    </row>
    <row r="97" spans="1:11" x14ac:dyDescent="0.3">
      <c r="A97" s="1" t="s">
        <v>389</v>
      </c>
      <c r="B97" s="1" t="s">
        <v>52</v>
      </c>
      <c r="C97" s="3" t="s">
        <v>312</v>
      </c>
      <c r="D97" s="1" t="s">
        <v>308</v>
      </c>
      <c r="E97" s="1" t="s">
        <v>289</v>
      </c>
      <c r="F97" s="1" t="s">
        <v>270</v>
      </c>
      <c r="G97" s="1" t="s">
        <v>298</v>
      </c>
      <c r="H97" s="1" t="s">
        <v>263</v>
      </c>
      <c r="I97" s="1" t="s">
        <v>263</v>
      </c>
      <c r="J97" s="1" t="s">
        <v>263</v>
      </c>
      <c r="K97" s="1" t="s">
        <v>263</v>
      </c>
    </row>
    <row r="98" spans="1:11" x14ac:dyDescent="0.3">
      <c r="A98" s="1" t="s">
        <v>390</v>
      </c>
      <c r="B98" s="1" t="s">
        <v>30</v>
      </c>
      <c r="C98" s="3" t="s">
        <v>330</v>
      </c>
      <c r="D98" s="1" t="s">
        <v>275</v>
      </c>
      <c r="E98" s="1" t="s">
        <v>276</v>
      </c>
      <c r="F98" s="1" t="s">
        <v>261</v>
      </c>
      <c r="G98" s="1" t="s">
        <v>304</v>
      </c>
      <c r="H98" s="1" t="s">
        <v>263</v>
      </c>
      <c r="I98" s="1" t="s">
        <v>263</v>
      </c>
      <c r="J98" s="1" t="s">
        <v>263</v>
      </c>
      <c r="K98" s="1" t="s">
        <v>263</v>
      </c>
    </row>
    <row r="99" spans="1:11" x14ac:dyDescent="0.3">
      <c r="A99" s="1" t="s">
        <v>391</v>
      </c>
      <c r="B99" s="1" t="s">
        <v>74</v>
      </c>
      <c r="C99" s="3" t="s">
        <v>307</v>
      </c>
      <c r="D99" s="1" t="s">
        <v>328</v>
      </c>
      <c r="E99" s="1" t="s">
        <v>289</v>
      </c>
      <c r="F99" s="1" t="s">
        <v>270</v>
      </c>
      <c r="G99" s="1" t="s">
        <v>356</v>
      </c>
      <c r="H99" s="1" t="s">
        <v>263</v>
      </c>
      <c r="I99" s="1" t="s">
        <v>263</v>
      </c>
      <c r="J99" s="1" t="s">
        <v>263</v>
      </c>
      <c r="K99" s="1" t="s">
        <v>263</v>
      </c>
    </row>
    <row r="100" spans="1:11" x14ac:dyDescent="0.3">
      <c r="A100" s="1" t="s">
        <v>392</v>
      </c>
      <c r="B100" s="1" t="s">
        <v>55</v>
      </c>
      <c r="C100" s="3" t="s">
        <v>302</v>
      </c>
      <c r="D100" s="1" t="s">
        <v>308</v>
      </c>
      <c r="E100" s="1" t="s">
        <v>260</v>
      </c>
      <c r="F100" s="1" t="s">
        <v>266</v>
      </c>
      <c r="G100" s="1" t="s">
        <v>290</v>
      </c>
      <c r="H100" s="1" t="s">
        <v>266</v>
      </c>
      <c r="I100" s="1" t="s">
        <v>275</v>
      </c>
      <c r="J100" s="1" t="s">
        <v>282</v>
      </c>
      <c r="K100" s="1" t="s">
        <v>265</v>
      </c>
    </row>
    <row r="101" spans="1:11" x14ac:dyDescent="0.3">
      <c r="A101" s="1" t="s">
        <v>393</v>
      </c>
      <c r="B101" s="1" t="s">
        <v>88</v>
      </c>
      <c r="C101" s="3" t="s">
        <v>263</v>
      </c>
      <c r="D101" s="1" t="s">
        <v>263</v>
      </c>
      <c r="E101" s="1" t="s">
        <v>263</v>
      </c>
      <c r="F101" s="1" t="s">
        <v>263</v>
      </c>
      <c r="G101" s="1" t="s">
        <v>263</v>
      </c>
      <c r="H101" s="1" t="s">
        <v>266</v>
      </c>
      <c r="I101" s="1" t="s">
        <v>259</v>
      </c>
      <c r="J101" s="1" t="s">
        <v>270</v>
      </c>
      <c r="K101" s="1" t="s">
        <v>280</v>
      </c>
    </row>
    <row r="102" spans="1:11" x14ac:dyDescent="0.3">
      <c r="A102" s="1" t="s">
        <v>394</v>
      </c>
      <c r="B102" s="1" t="s">
        <v>74</v>
      </c>
      <c r="C102" s="3" t="s">
        <v>332</v>
      </c>
      <c r="D102" s="1" t="s">
        <v>297</v>
      </c>
      <c r="E102" s="1" t="s">
        <v>280</v>
      </c>
      <c r="F102" s="1" t="s">
        <v>266</v>
      </c>
      <c r="G102" s="1" t="s">
        <v>271</v>
      </c>
      <c r="H102" s="1" t="s">
        <v>263</v>
      </c>
      <c r="I102" s="1" t="s">
        <v>263</v>
      </c>
      <c r="J102" s="1" t="s">
        <v>263</v>
      </c>
      <c r="K102" s="1" t="s">
        <v>263</v>
      </c>
    </row>
    <row r="103" spans="1:11" x14ac:dyDescent="0.3">
      <c r="A103" s="1" t="s">
        <v>395</v>
      </c>
      <c r="B103" s="1" t="s">
        <v>15</v>
      </c>
      <c r="C103" s="3" t="s">
        <v>263</v>
      </c>
      <c r="D103" s="1" t="s">
        <v>263</v>
      </c>
      <c r="E103" s="1" t="s">
        <v>263</v>
      </c>
      <c r="F103" s="1" t="s">
        <v>263</v>
      </c>
      <c r="G103" s="1" t="s">
        <v>263</v>
      </c>
      <c r="H103" s="1" t="s">
        <v>266</v>
      </c>
      <c r="I103" s="1" t="s">
        <v>333</v>
      </c>
      <c r="J103" s="1" t="s">
        <v>261</v>
      </c>
      <c r="K103" s="1" t="s">
        <v>334</v>
      </c>
    </row>
    <row r="104" spans="1:11" x14ac:dyDescent="0.3">
      <c r="A104" s="1" t="s">
        <v>396</v>
      </c>
      <c r="B104" s="1" t="s">
        <v>83</v>
      </c>
      <c r="C104" s="3" t="s">
        <v>296</v>
      </c>
      <c r="D104" s="1" t="s">
        <v>275</v>
      </c>
      <c r="E104" s="1" t="s">
        <v>276</v>
      </c>
      <c r="F104" s="1" t="s">
        <v>261</v>
      </c>
      <c r="G104" s="1" t="s">
        <v>335</v>
      </c>
      <c r="H104" s="1" t="s">
        <v>263</v>
      </c>
      <c r="I104" s="1" t="s">
        <v>263</v>
      </c>
      <c r="J104" s="1" t="s">
        <v>263</v>
      </c>
      <c r="K104" s="1" t="s">
        <v>263</v>
      </c>
    </row>
    <row r="105" spans="1:11" x14ac:dyDescent="0.3">
      <c r="A105" s="1" t="s">
        <v>397</v>
      </c>
      <c r="B105" s="1" t="s">
        <v>42</v>
      </c>
      <c r="C105" s="3" t="s">
        <v>312</v>
      </c>
      <c r="D105" s="1" t="s">
        <v>308</v>
      </c>
      <c r="E105" s="1" t="s">
        <v>289</v>
      </c>
      <c r="F105" s="1" t="s">
        <v>270</v>
      </c>
      <c r="G105" s="1" t="s">
        <v>298</v>
      </c>
      <c r="H105" s="1" t="s">
        <v>263</v>
      </c>
      <c r="I105" s="1" t="s">
        <v>263</v>
      </c>
      <c r="J105" s="1" t="s">
        <v>263</v>
      </c>
      <c r="K105" s="1" t="s">
        <v>263</v>
      </c>
    </row>
    <row r="106" spans="1:11" x14ac:dyDescent="0.3">
      <c r="A106" s="1" t="s">
        <v>398</v>
      </c>
      <c r="B106" s="1" t="s">
        <v>58</v>
      </c>
      <c r="C106" s="3" t="s">
        <v>308</v>
      </c>
      <c r="D106" s="1" t="s">
        <v>348</v>
      </c>
      <c r="E106" s="1" t="s">
        <v>261</v>
      </c>
      <c r="F106" s="1" t="s">
        <v>270</v>
      </c>
      <c r="G106" s="1" t="s">
        <v>290</v>
      </c>
      <c r="H106" s="1" t="s">
        <v>266</v>
      </c>
      <c r="I106" s="1" t="s">
        <v>288</v>
      </c>
      <c r="J106" s="1" t="s">
        <v>270</v>
      </c>
      <c r="K106" s="1" t="s">
        <v>276</v>
      </c>
    </row>
    <row r="107" spans="1:11" x14ac:dyDescent="0.3">
      <c r="A107" s="1" t="s">
        <v>399</v>
      </c>
      <c r="B107" s="1" t="s">
        <v>71</v>
      </c>
      <c r="C107" s="3" t="s">
        <v>263</v>
      </c>
      <c r="D107" s="1" t="s">
        <v>263</v>
      </c>
      <c r="E107" s="1" t="s">
        <v>263</v>
      </c>
      <c r="F107" s="1" t="s">
        <v>263</v>
      </c>
      <c r="G107" s="1" t="s">
        <v>263</v>
      </c>
      <c r="H107" s="1" t="s">
        <v>266</v>
      </c>
      <c r="I107" s="1" t="s">
        <v>284</v>
      </c>
      <c r="J107" s="1" t="s">
        <v>270</v>
      </c>
      <c r="K107" s="1" t="s">
        <v>285</v>
      </c>
    </row>
    <row r="108" spans="1:11" x14ac:dyDescent="0.3">
      <c r="A108" s="1" t="s">
        <v>400</v>
      </c>
      <c r="B108" s="1" t="s">
        <v>33</v>
      </c>
      <c r="C108" s="3" t="s">
        <v>263</v>
      </c>
      <c r="D108" s="1" t="s">
        <v>263</v>
      </c>
      <c r="E108" s="1" t="s">
        <v>263</v>
      </c>
      <c r="F108" s="1" t="s">
        <v>263</v>
      </c>
      <c r="G108" s="1" t="s">
        <v>263</v>
      </c>
      <c r="H108" s="1" t="s">
        <v>266</v>
      </c>
      <c r="I108" s="1" t="s">
        <v>308</v>
      </c>
      <c r="J108" s="1" t="s">
        <v>270</v>
      </c>
      <c r="K108" s="1" t="s">
        <v>371</v>
      </c>
    </row>
    <row r="109" spans="1:11" x14ac:dyDescent="0.3">
      <c r="A109" s="1" t="s">
        <v>401</v>
      </c>
      <c r="B109" s="1" t="s">
        <v>85</v>
      </c>
      <c r="C109" s="3" t="s">
        <v>297</v>
      </c>
      <c r="D109" s="1" t="s">
        <v>308</v>
      </c>
      <c r="E109" s="1" t="s">
        <v>266</v>
      </c>
      <c r="F109" s="1" t="s">
        <v>270</v>
      </c>
      <c r="G109" s="1" t="s">
        <v>300</v>
      </c>
      <c r="H109" s="1" t="s">
        <v>263</v>
      </c>
      <c r="I109" s="1" t="s">
        <v>263</v>
      </c>
      <c r="J109" s="1" t="s">
        <v>263</v>
      </c>
      <c r="K109" s="1" t="s">
        <v>263</v>
      </c>
    </row>
    <row r="110" spans="1:11" x14ac:dyDescent="0.3">
      <c r="A110" s="1" t="s">
        <v>402</v>
      </c>
      <c r="B110" s="1" t="s">
        <v>101</v>
      </c>
      <c r="C110" s="3" t="s">
        <v>296</v>
      </c>
      <c r="D110" s="1" t="s">
        <v>275</v>
      </c>
      <c r="E110" s="1" t="s">
        <v>276</v>
      </c>
      <c r="F110" s="1" t="s">
        <v>266</v>
      </c>
      <c r="G110" s="1" t="s">
        <v>335</v>
      </c>
      <c r="H110" s="1" t="s">
        <v>263</v>
      </c>
      <c r="I110" s="1" t="s">
        <v>263</v>
      </c>
      <c r="J110" s="1" t="s">
        <v>263</v>
      </c>
      <c r="K110" s="1" t="s">
        <v>263</v>
      </c>
    </row>
    <row r="111" spans="1:11" x14ac:dyDescent="0.3">
      <c r="A111" s="1" t="s">
        <v>403</v>
      </c>
      <c r="B111" s="1" t="s">
        <v>27</v>
      </c>
      <c r="C111" s="3" t="s">
        <v>312</v>
      </c>
      <c r="D111" s="1" t="s">
        <v>308</v>
      </c>
      <c r="E111" s="1" t="s">
        <v>289</v>
      </c>
      <c r="F111" s="1" t="s">
        <v>270</v>
      </c>
      <c r="G111" s="1" t="s">
        <v>298</v>
      </c>
      <c r="H111" s="1" t="s">
        <v>266</v>
      </c>
      <c r="I111" s="1" t="s">
        <v>328</v>
      </c>
      <c r="J111" s="1" t="s">
        <v>282</v>
      </c>
      <c r="K111" s="1" t="s">
        <v>336</v>
      </c>
    </row>
    <row r="112" spans="1:11" x14ac:dyDescent="0.3">
      <c r="A112" s="1" t="s">
        <v>404</v>
      </c>
      <c r="B112" s="1" t="s">
        <v>80</v>
      </c>
      <c r="C112" s="3" t="s">
        <v>263</v>
      </c>
      <c r="D112" s="1" t="s">
        <v>263</v>
      </c>
      <c r="E112" s="1" t="s">
        <v>263</v>
      </c>
      <c r="F112" s="1" t="s">
        <v>263</v>
      </c>
      <c r="G112" s="1" t="s">
        <v>263</v>
      </c>
      <c r="H112" s="1" t="s">
        <v>266</v>
      </c>
      <c r="I112" s="1" t="s">
        <v>284</v>
      </c>
      <c r="J112" s="1" t="s">
        <v>261</v>
      </c>
      <c r="K112" s="1" t="s">
        <v>285</v>
      </c>
    </row>
    <row r="113" spans="1:11" x14ac:dyDescent="0.3">
      <c r="A113" s="1" t="s">
        <v>405</v>
      </c>
      <c r="B113" s="1" t="s">
        <v>103</v>
      </c>
      <c r="C113" s="3" t="s">
        <v>275</v>
      </c>
      <c r="D113" s="1" t="s">
        <v>333</v>
      </c>
      <c r="E113" s="1" t="s">
        <v>266</v>
      </c>
      <c r="F113" s="1" t="s">
        <v>282</v>
      </c>
      <c r="G113" s="1" t="s">
        <v>375</v>
      </c>
      <c r="H113" s="1" t="s">
        <v>263</v>
      </c>
      <c r="I113" s="1" t="s">
        <v>263</v>
      </c>
      <c r="J113" s="1" t="s">
        <v>263</v>
      </c>
      <c r="K113" s="1" t="s">
        <v>263</v>
      </c>
    </row>
    <row r="114" spans="1:11" x14ac:dyDescent="0.3">
      <c r="A114" s="1" t="s">
        <v>406</v>
      </c>
      <c r="B114" s="1" t="s">
        <v>42</v>
      </c>
      <c r="C114" s="3" t="s">
        <v>330</v>
      </c>
      <c r="D114" s="1" t="s">
        <v>297</v>
      </c>
      <c r="E114" s="1" t="s">
        <v>276</v>
      </c>
      <c r="F114" s="1" t="s">
        <v>270</v>
      </c>
      <c r="G114" s="1" t="s">
        <v>359</v>
      </c>
      <c r="H114" s="1" t="s">
        <v>263</v>
      </c>
      <c r="I114" s="1" t="s">
        <v>263</v>
      </c>
      <c r="J114" s="1" t="s">
        <v>263</v>
      </c>
      <c r="K114" s="1" t="s">
        <v>263</v>
      </c>
    </row>
    <row r="115" spans="1:11" x14ac:dyDescent="0.3">
      <c r="A115" s="1" t="s">
        <v>407</v>
      </c>
      <c r="B115" s="1" t="s">
        <v>58</v>
      </c>
      <c r="C115" s="3" t="s">
        <v>311</v>
      </c>
      <c r="D115" s="1" t="s">
        <v>265</v>
      </c>
      <c r="E115" s="1" t="s">
        <v>270</v>
      </c>
      <c r="F115" s="1" t="s">
        <v>282</v>
      </c>
      <c r="G115" s="1" t="s">
        <v>290</v>
      </c>
      <c r="H115" s="1" t="s">
        <v>266</v>
      </c>
      <c r="I115" s="1" t="s">
        <v>333</v>
      </c>
      <c r="J115" s="1" t="s">
        <v>261</v>
      </c>
      <c r="K115" s="1" t="s">
        <v>334</v>
      </c>
    </row>
    <row r="116" spans="1:11" x14ac:dyDescent="0.3">
      <c r="A116" s="1" t="s">
        <v>408</v>
      </c>
      <c r="B116" s="1" t="s">
        <v>69</v>
      </c>
      <c r="C116" s="3" t="s">
        <v>302</v>
      </c>
      <c r="D116" s="1" t="s">
        <v>328</v>
      </c>
      <c r="E116" s="1" t="s">
        <v>260</v>
      </c>
      <c r="F116" s="1" t="s">
        <v>261</v>
      </c>
      <c r="G116" s="1" t="s">
        <v>329</v>
      </c>
      <c r="H116" s="1" t="s">
        <v>263</v>
      </c>
      <c r="I116" s="1" t="s">
        <v>263</v>
      </c>
      <c r="J116" s="1" t="s">
        <v>263</v>
      </c>
      <c r="K116" s="1" t="s">
        <v>263</v>
      </c>
    </row>
    <row r="117" spans="1:11" x14ac:dyDescent="0.3">
      <c r="A117" s="1" t="s">
        <v>409</v>
      </c>
      <c r="B117" s="1" t="s">
        <v>66</v>
      </c>
      <c r="C117" s="3" t="s">
        <v>263</v>
      </c>
      <c r="D117" s="1" t="s">
        <v>263</v>
      </c>
      <c r="E117" s="1" t="s">
        <v>263</v>
      </c>
      <c r="F117" s="1" t="s">
        <v>263</v>
      </c>
      <c r="G117" s="1" t="s">
        <v>263</v>
      </c>
      <c r="H117" s="1" t="s">
        <v>266</v>
      </c>
      <c r="I117" s="1" t="s">
        <v>269</v>
      </c>
      <c r="J117" s="1" t="s">
        <v>261</v>
      </c>
      <c r="K117" s="1" t="s">
        <v>410</v>
      </c>
    </row>
    <row r="118" spans="1:11" x14ac:dyDescent="0.3">
      <c r="A118" s="1" t="s">
        <v>411</v>
      </c>
      <c r="B118" s="1" t="s">
        <v>30</v>
      </c>
      <c r="C118" s="3" t="s">
        <v>317</v>
      </c>
      <c r="D118" s="1" t="s">
        <v>297</v>
      </c>
      <c r="E118" s="1" t="s">
        <v>280</v>
      </c>
      <c r="F118" s="1" t="s">
        <v>266</v>
      </c>
      <c r="G118" s="1" t="s">
        <v>383</v>
      </c>
      <c r="H118" s="1" t="s">
        <v>263</v>
      </c>
      <c r="I118" s="1" t="s">
        <v>263</v>
      </c>
      <c r="J118" s="1" t="s">
        <v>263</v>
      </c>
      <c r="K118" s="1" t="s">
        <v>263</v>
      </c>
    </row>
    <row r="119" spans="1:11" x14ac:dyDescent="0.3">
      <c r="A119" s="1" t="s">
        <v>412</v>
      </c>
      <c r="B119" s="1" t="s">
        <v>78</v>
      </c>
      <c r="C119" s="3" t="s">
        <v>263</v>
      </c>
      <c r="D119" s="1" t="s">
        <v>263</v>
      </c>
      <c r="E119" s="1" t="s">
        <v>263</v>
      </c>
      <c r="F119" s="1" t="s">
        <v>263</v>
      </c>
      <c r="G119" s="1" t="s">
        <v>263</v>
      </c>
      <c r="H119" s="1" t="s">
        <v>266</v>
      </c>
      <c r="I119" s="1" t="s">
        <v>308</v>
      </c>
      <c r="J119" s="1" t="s">
        <v>270</v>
      </c>
      <c r="K119" s="1" t="s">
        <v>371</v>
      </c>
    </row>
    <row r="120" spans="1:11" x14ac:dyDescent="0.3">
      <c r="A120" s="1" t="s">
        <v>413</v>
      </c>
      <c r="B120" s="1" t="s">
        <v>47</v>
      </c>
      <c r="C120" s="3" t="s">
        <v>312</v>
      </c>
      <c r="D120" s="1" t="s">
        <v>333</v>
      </c>
      <c r="E120" s="1" t="s">
        <v>289</v>
      </c>
      <c r="F120" s="1" t="s">
        <v>261</v>
      </c>
      <c r="G120" s="1" t="s">
        <v>290</v>
      </c>
      <c r="H120" s="1" t="s">
        <v>263</v>
      </c>
      <c r="I120" s="1" t="s">
        <v>263</v>
      </c>
      <c r="J120" s="1" t="s">
        <v>263</v>
      </c>
      <c r="K120" s="1" t="s">
        <v>263</v>
      </c>
    </row>
    <row r="121" spans="1:11" x14ac:dyDescent="0.3">
      <c r="A121" s="1" t="s">
        <v>414</v>
      </c>
      <c r="B121" s="1" t="s">
        <v>60</v>
      </c>
      <c r="C121" s="3" t="s">
        <v>263</v>
      </c>
      <c r="D121" s="1" t="s">
        <v>263</v>
      </c>
      <c r="E121" s="1" t="s">
        <v>263</v>
      </c>
      <c r="F121" s="1" t="s">
        <v>263</v>
      </c>
      <c r="G121" s="1" t="s">
        <v>263</v>
      </c>
      <c r="H121" s="1" t="s">
        <v>266</v>
      </c>
      <c r="I121" s="1" t="s">
        <v>288</v>
      </c>
      <c r="J121" s="1" t="s">
        <v>270</v>
      </c>
      <c r="K121" s="1" t="s">
        <v>276</v>
      </c>
    </row>
    <row r="122" spans="1:11" x14ac:dyDescent="0.3">
      <c r="A122" s="1" t="s">
        <v>415</v>
      </c>
      <c r="B122" s="1" t="s">
        <v>83</v>
      </c>
      <c r="C122" s="3" t="s">
        <v>330</v>
      </c>
      <c r="D122" s="1" t="s">
        <v>275</v>
      </c>
      <c r="E122" s="1" t="s">
        <v>276</v>
      </c>
      <c r="F122" s="1" t="s">
        <v>261</v>
      </c>
      <c r="G122" s="1" t="s">
        <v>304</v>
      </c>
      <c r="H122" s="1" t="s">
        <v>263</v>
      </c>
      <c r="I122" s="1" t="s">
        <v>263</v>
      </c>
      <c r="J122" s="1" t="s">
        <v>263</v>
      </c>
      <c r="K122" s="1" t="s">
        <v>263</v>
      </c>
    </row>
    <row r="123" spans="1:11" x14ac:dyDescent="0.3">
      <c r="A123" s="1" t="s">
        <v>416</v>
      </c>
      <c r="B123" s="1" t="s">
        <v>93</v>
      </c>
      <c r="C123" s="3" t="s">
        <v>263</v>
      </c>
      <c r="D123" s="1" t="s">
        <v>263</v>
      </c>
      <c r="E123" s="1" t="s">
        <v>263</v>
      </c>
      <c r="F123" s="1" t="s">
        <v>263</v>
      </c>
      <c r="G123" s="1" t="s">
        <v>263</v>
      </c>
      <c r="H123" s="1" t="s">
        <v>266</v>
      </c>
      <c r="I123" s="1" t="s">
        <v>328</v>
      </c>
      <c r="J123" s="1" t="s">
        <v>282</v>
      </c>
      <c r="K123" s="1" t="s">
        <v>336</v>
      </c>
    </row>
    <row r="124" spans="1:11" x14ac:dyDescent="0.3">
      <c r="A124" s="1" t="s">
        <v>417</v>
      </c>
      <c r="B124" s="1" t="s">
        <v>96</v>
      </c>
      <c r="C124" s="3" t="s">
        <v>332</v>
      </c>
      <c r="D124" s="1" t="s">
        <v>312</v>
      </c>
      <c r="E124" s="1" t="s">
        <v>280</v>
      </c>
      <c r="F124" s="1" t="s">
        <v>266</v>
      </c>
      <c r="G124" s="1" t="s">
        <v>310</v>
      </c>
      <c r="H124" s="1" t="s">
        <v>263</v>
      </c>
      <c r="I124" s="1" t="s">
        <v>263</v>
      </c>
      <c r="J124" s="1" t="s">
        <v>263</v>
      </c>
      <c r="K124" s="1" t="s">
        <v>263</v>
      </c>
    </row>
    <row r="125" spans="1:11" x14ac:dyDescent="0.3">
      <c r="A125" s="1" t="s">
        <v>418</v>
      </c>
      <c r="B125" s="1" t="s">
        <v>15</v>
      </c>
      <c r="C125" s="3" t="s">
        <v>263</v>
      </c>
      <c r="D125" s="1" t="s">
        <v>263</v>
      </c>
      <c r="E125" s="1" t="s">
        <v>263</v>
      </c>
      <c r="F125" s="1" t="s">
        <v>263</v>
      </c>
      <c r="G125" s="1" t="s">
        <v>263</v>
      </c>
      <c r="H125" s="1" t="s">
        <v>266</v>
      </c>
      <c r="I125" s="1" t="s">
        <v>284</v>
      </c>
      <c r="J125" s="1" t="s">
        <v>261</v>
      </c>
      <c r="K125" s="1" t="s">
        <v>285</v>
      </c>
    </row>
    <row r="126" spans="1:11" x14ac:dyDescent="0.3">
      <c r="A126" s="1" t="s">
        <v>419</v>
      </c>
      <c r="B126" s="1" t="s">
        <v>45</v>
      </c>
      <c r="C126" s="3" t="s">
        <v>263</v>
      </c>
      <c r="D126" s="1" t="s">
        <v>263</v>
      </c>
      <c r="E126" s="1" t="s">
        <v>263</v>
      </c>
      <c r="F126" s="1" t="s">
        <v>263</v>
      </c>
      <c r="G126" s="1" t="s">
        <v>263</v>
      </c>
      <c r="H126" s="1" t="s">
        <v>266</v>
      </c>
      <c r="I126" s="1" t="s">
        <v>308</v>
      </c>
      <c r="J126" s="1" t="s">
        <v>270</v>
      </c>
      <c r="K126" s="1" t="s">
        <v>371</v>
      </c>
    </row>
    <row r="127" spans="1:11" x14ac:dyDescent="0.3">
      <c r="A127" s="1" t="s">
        <v>420</v>
      </c>
      <c r="B127" s="1" t="s">
        <v>19</v>
      </c>
      <c r="C127" s="3" t="s">
        <v>302</v>
      </c>
      <c r="D127" s="1" t="s">
        <v>328</v>
      </c>
      <c r="E127" s="1" t="s">
        <v>260</v>
      </c>
      <c r="F127" s="1" t="s">
        <v>270</v>
      </c>
      <c r="G127" s="1" t="s">
        <v>329</v>
      </c>
      <c r="H127" s="1" t="s">
        <v>263</v>
      </c>
      <c r="I127" s="1" t="s">
        <v>263</v>
      </c>
      <c r="J127" s="1" t="s">
        <v>263</v>
      </c>
      <c r="K127" s="1" t="s">
        <v>263</v>
      </c>
    </row>
    <row r="128" spans="1:11" x14ac:dyDescent="0.3">
      <c r="A128" s="1" t="s">
        <v>421</v>
      </c>
      <c r="B128" s="1" t="s">
        <v>88</v>
      </c>
      <c r="C128" s="3" t="s">
        <v>263</v>
      </c>
      <c r="D128" s="1" t="s">
        <v>263</v>
      </c>
      <c r="E128" s="1" t="s">
        <v>263</v>
      </c>
      <c r="F128" s="1" t="s">
        <v>263</v>
      </c>
      <c r="G128" s="1" t="s">
        <v>263</v>
      </c>
      <c r="H128" s="1" t="s">
        <v>266</v>
      </c>
      <c r="I128" s="1" t="s">
        <v>308</v>
      </c>
      <c r="J128" s="1" t="s">
        <v>261</v>
      </c>
      <c r="K128" s="1" t="s">
        <v>371</v>
      </c>
    </row>
    <row r="129" spans="1:11" x14ac:dyDescent="0.3">
      <c r="A129" s="1" t="s">
        <v>422</v>
      </c>
      <c r="B129" s="1" t="s">
        <v>8</v>
      </c>
      <c r="C129" s="3" t="s">
        <v>296</v>
      </c>
      <c r="D129" s="1" t="s">
        <v>297</v>
      </c>
      <c r="E129" s="1" t="s">
        <v>276</v>
      </c>
      <c r="F129" s="1" t="s">
        <v>261</v>
      </c>
      <c r="G129" s="1" t="s">
        <v>298</v>
      </c>
      <c r="H129" s="1" t="s">
        <v>263</v>
      </c>
      <c r="I129" s="1" t="s">
        <v>263</v>
      </c>
      <c r="J129" s="1" t="s">
        <v>263</v>
      </c>
      <c r="K129" s="1" t="s">
        <v>263</v>
      </c>
    </row>
    <row r="130" spans="1:11" x14ac:dyDescent="0.3">
      <c r="A130" s="1" t="s">
        <v>423</v>
      </c>
      <c r="B130" s="1" t="s">
        <v>33</v>
      </c>
      <c r="C130" s="3" t="s">
        <v>263</v>
      </c>
      <c r="D130" s="1" t="s">
        <v>263</v>
      </c>
      <c r="E130" s="1" t="s">
        <v>263</v>
      </c>
      <c r="F130" s="1" t="s">
        <v>263</v>
      </c>
      <c r="G130" s="1" t="s">
        <v>263</v>
      </c>
      <c r="H130" s="1" t="s">
        <v>266</v>
      </c>
      <c r="I130" s="1" t="s">
        <v>288</v>
      </c>
      <c r="J130" s="1" t="s">
        <v>270</v>
      </c>
      <c r="K130" s="1" t="s">
        <v>276</v>
      </c>
    </row>
    <row r="131" spans="1:11" x14ac:dyDescent="0.3">
      <c r="A131" s="1" t="s">
        <v>424</v>
      </c>
      <c r="B131" s="1" t="s">
        <v>52</v>
      </c>
      <c r="C131" s="3" t="s">
        <v>274</v>
      </c>
      <c r="D131" s="1" t="s">
        <v>275</v>
      </c>
      <c r="E131" s="1" t="s">
        <v>260</v>
      </c>
      <c r="F131" s="1" t="s">
        <v>261</v>
      </c>
      <c r="G131" s="1" t="s">
        <v>277</v>
      </c>
      <c r="H131" s="1" t="s">
        <v>263</v>
      </c>
      <c r="I131" s="1" t="s">
        <v>263</v>
      </c>
      <c r="J131" s="1" t="s">
        <v>263</v>
      </c>
      <c r="K131" s="1" t="s">
        <v>263</v>
      </c>
    </row>
    <row r="132" spans="1:11" x14ac:dyDescent="0.3">
      <c r="A132" s="1" t="s">
        <v>425</v>
      </c>
      <c r="B132" s="1" t="s">
        <v>74</v>
      </c>
      <c r="C132" s="3" t="s">
        <v>264</v>
      </c>
      <c r="D132" s="1" t="s">
        <v>312</v>
      </c>
      <c r="E132" s="1" t="s">
        <v>265</v>
      </c>
      <c r="F132" s="1" t="s">
        <v>266</v>
      </c>
      <c r="G132" s="1" t="s">
        <v>426</v>
      </c>
      <c r="H132" s="1" t="s">
        <v>263</v>
      </c>
      <c r="I132" s="1" t="s">
        <v>263</v>
      </c>
      <c r="J132" s="1" t="s">
        <v>263</v>
      </c>
      <c r="K132" s="1" t="s">
        <v>263</v>
      </c>
    </row>
    <row r="133" spans="1:11" x14ac:dyDescent="0.3">
      <c r="A133" s="1" t="s">
        <v>427</v>
      </c>
      <c r="B133" s="1" t="s">
        <v>80</v>
      </c>
      <c r="C133" s="3" t="s">
        <v>263</v>
      </c>
      <c r="D133" s="1" t="s">
        <v>263</v>
      </c>
      <c r="E133" s="1" t="s">
        <v>263</v>
      </c>
      <c r="F133" s="1" t="s">
        <v>263</v>
      </c>
      <c r="G133" s="1" t="s">
        <v>263</v>
      </c>
      <c r="H133" s="1" t="s">
        <v>266</v>
      </c>
      <c r="I133" s="1" t="s">
        <v>333</v>
      </c>
      <c r="J133" s="1" t="s">
        <v>270</v>
      </c>
      <c r="K133" s="1" t="s">
        <v>334</v>
      </c>
    </row>
    <row r="134" spans="1:11" x14ac:dyDescent="0.3">
      <c r="A134" s="1" t="s">
        <v>428</v>
      </c>
      <c r="B134" s="1" t="s">
        <v>83</v>
      </c>
      <c r="C134" s="3" t="s">
        <v>317</v>
      </c>
      <c r="D134" s="1" t="s">
        <v>297</v>
      </c>
      <c r="E134" s="1" t="s">
        <v>280</v>
      </c>
      <c r="F134" s="1" t="s">
        <v>261</v>
      </c>
      <c r="G134" s="1" t="s">
        <v>383</v>
      </c>
      <c r="H134" s="1" t="s">
        <v>263</v>
      </c>
      <c r="I134" s="1" t="s">
        <v>263</v>
      </c>
      <c r="J134" s="1" t="s">
        <v>263</v>
      </c>
      <c r="K134" s="1" t="s">
        <v>263</v>
      </c>
    </row>
    <row r="135" spans="1:11" x14ac:dyDescent="0.3">
      <c r="A135" s="1" t="s">
        <v>429</v>
      </c>
      <c r="B135" s="1" t="s">
        <v>42</v>
      </c>
      <c r="C135" s="3" t="s">
        <v>297</v>
      </c>
      <c r="D135" s="1" t="s">
        <v>333</v>
      </c>
      <c r="E135" s="1" t="s">
        <v>266</v>
      </c>
      <c r="F135" s="1" t="s">
        <v>270</v>
      </c>
      <c r="G135" s="1" t="s">
        <v>283</v>
      </c>
      <c r="H135" s="1" t="s">
        <v>263</v>
      </c>
      <c r="I135" s="1" t="s">
        <v>263</v>
      </c>
      <c r="J135" s="1" t="s">
        <v>263</v>
      </c>
      <c r="K135" s="1" t="s">
        <v>263</v>
      </c>
    </row>
    <row r="136" spans="1:11" x14ac:dyDescent="0.3">
      <c r="A136" s="1" t="s">
        <v>430</v>
      </c>
      <c r="B136" s="1" t="s">
        <v>58</v>
      </c>
      <c r="C136" s="3" t="s">
        <v>328</v>
      </c>
      <c r="D136" s="1" t="s">
        <v>311</v>
      </c>
      <c r="E136" s="1" t="s">
        <v>266</v>
      </c>
      <c r="F136" s="1" t="s">
        <v>270</v>
      </c>
      <c r="G136" s="1" t="s">
        <v>304</v>
      </c>
      <c r="H136" s="1" t="s">
        <v>266</v>
      </c>
      <c r="I136" s="1" t="s">
        <v>308</v>
      </c>
      <c r="J136" s="1" t="s">
        <v>270</v>
      </c>
      <c r="K136" s="1" t="s">
        <v>371</v>
      </c>
    </row>
    <row r="137" spans="1:11" x14ac:dyDescent="0.3">
      <c r="A137" s="1" t="s">
        <v>431</v>
      </c>
      <c r="B137" s="1" t="s">
        <v>60</v>
      </c>
      <c r="C137" s="3" t="s">
        <v>263</v>
      </c>
      <c r="D137" s="1" t="s">
        <v>263</v>
      </c>
      <c r="E137" s="1" t="s">
        <v>263</v>
      </c>
      <c r="F137" s="1" t="s">
        <v>263</v>
      </c>
      <c r="G137" s="1" t="s">
        <v>263</v>
      </c>
      <c r="H137" s="1" t="s">
        <v>266</v>
      </c>
      <c r="I137" s="1" t="s">
        <v>333</v>
      </c>
      <c r="J137" s="1" t="s">
        <v>270</v>
      </c>
      <c r="K137" s="1" t="s">
        <v>334</v>
      </c>
    </row>
    <row r="138" spans="1:11" x14ac:dyDescent="0.3">
      <c r="A138" s="1" t="s">
        <v>432</v>
      </c>
      <c r="B138" s="1" t="s">
        <v>30</v>
      </c>
      <c r="C138" s="3" t="s">
        <v>321</v>
      </c>
      <c r="D138" s="1" t="s">
        <v>312</v>
      </c>
      <c r="E138" s="1" t="s">
        <v>305</v>
      </c>
      <c r="F138" s="1" t="s">
        <v>266</v>
      </c>
      <c r="G138" s="1" t="s">
        <v>283</v>
      </c>
      <c r="H138" s="1" t="s">
        <v>263</v>
      </c>
      <c r="I138" s="1" t="s">
        <v>263</v>
      </c>
      <c r="J138" s="1" t="s">
        <v>263</v>
      </c>
      <c r="K138" s="1" t="s">
        <v>263</v>
      </c>
    </row>
    <row r="139" spans="1:11" x14ac:dyDescent="0.3">
      <c r="A139" s="1" t="s">
        <v>433</v>
      </c>
      <c r="B139" s="1" t="s">
        <v>36</v>
      </c>
      <c r="C139" s="3" t="s">
        <v>312</v>
      </c>
      <c r="D139" s="1" t="s">
        <v>308</v>
      </c>
      <c r="E139" s="1" t="s">
        <v>289</v>
      </c>
      <c r="F139" s="1" t="s">
        <v>270</v>
      </c>
      <c r="G139" s="1" t="s">
        <v>298</v>
      </c>
      <c r="H139" s="1" t="s">
        <v>263</v>
      </c>
      <c r="I139" s="1" t="s">
        <v>263</v>
      </c>
      <c r="J139" s="1" t="s">
        <v>263</v>
      </c>
      <c r="K139" s="1" t="s">
        <v>263</v>
      </c>
    </row>
    <row r="140" spans="1:11" x14ac:dyDescent="0.3">
      <c r="A140" s="1" t="s">
        <v>434</v>
      </c>
      <c r="B140" s="1" t="s">
        <v>101</v>
      </c>
      <c r="C140" s="3" t="s">
        <v>317</v>
      </c>
      <c r="D140" s="1" t="s">
        <v>297</v>
      </c>
      <c r="E140" s="1" t="s">
        <v>280</v>
      </c>
      <c r="F140" s="1" t="s">
        <v>261</v>
      </c>
      <c r="G140" s="1" t="s">
        <v>383</v>
      </c>
      <c r="H140" s="1" t="s">
        <v>263</v>
      </c>
      <c r="I140" s="1" t="s">
        <v>263</v>
      </c>
      <c r="J140" s="1" t="s">
        <v>263</v>
      </c>
      <c r="K140" s="1" t="s">
        <v>263</v>
      </c>
    </row>
    <row r="141" spans="1:11" x14ac:dyDescent="0.3">
      <c r="A141" s="1" t="s">
        <v>435</v>
      </c>
      <c r="B141" s="1" t="s">
        <v>103</v>
      </c>
      <c r="C141" s="3" t="s">
        <v>302</v>
      </c>
      <c r="D141" s="1" t="s">
        <v>328</v>
      </c>
      <c r="E141" s="1" t="s">
        <v>260</v>
      </c>
      <c r="F141" s="1" t="s">
        <v>261</v>
      </c>
      <c r="G141" s="1" t="s">
        <v>329</v>
      </c>
      <c r="H141" s="1" t="s">
        <v>263</v>
      </c>
      <c r="I141" s="1" t="s">
        <v>263</v>
      </c>
      <c r="J141" s="1" t="s">
        <v>263</v>
      </c>
      <c r="K141" s="1" t="s">
        <v>263</v>
      </c>
    </row>
    <row r="144" spans="1:11" x14ac:dyDescent="0.3">
      <c r="D144" s="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A6CA-C960-4AB9-8BC1-753454BC43BD}">
  <dimension ref="A1:N61"/>
  <sheetViews>
    <sheetView topLeftCell="A2" workbookViewId="0"/>
  </sheetViews>
  <sheetFormatPr defaultRowHeight="14.4" x14ac:dyDescent="0.3"/>
  <cols>
    <col min="1" max="1" width="10.88671875" bestFit="1" customWidth="1"/>
    <col min="2" max="2" width="10.33203125" bestFit="1" customWidth="1"/>
    <col min="3" max="3" width="10.88671875" bestFit="1" customWidth="1"/>
    <col min="4" max="5" width="11.33203125" bestFit="1" customWidth="1"/>
    <col min="6" max="6" width="13.5546875" bestFit="1" customWidth="1"/>
    <col min="7" max="7" width="15" bestFit="1" customWidth="1"/>
    <col min="8" max="8" width="14.88671875" bestFit="1" customWidth="1"/>
    <col min="9" max="10" width="13.5546875" bestFit="1" customWidth="1"/>
    <col min="11" max="12" width="16.44140625" bestFit="1" customWidth="1"/>
    <col min="13" max="14" width="14.33203125" bestFit="1" customWidth="1"/>
  </cols>
  <sheetData>
    <row r="1" spans="1:14" x14ac:dyDescent="0.3">
      <c r="A1" t="s">
        <v>176</v>
      </c>
      <c r="B1" t="s">
        <v>177</v>
      </c>
      <c r="C1" t="s">
        <v>159</v>
      </c>
      <c r="D1" t="s">
        <v>178</v>
      </c>
      <c r="E1" t="s">
        <v>179</v>
      </c>
      <c r="F1" t="s">
        <v>180</v>
      </c>
      <c r="G1" t="s">
        <v>181</v>
      </c>
      <c r="H1" t="s">
        <v>182</v>
      </c>
      <c r="I1" t="s">
        <v>183</v>
      </c>
      <c r="J1" t="s">
        <v>184</v>
      </c>
      <c r="K1" t="s">
        <v>185</v>
      </c>
      <c r="L1" t="s">
        <v>186</v>
      </c>
      <c r="M1" t="s">
        <v>187</v>
      </c>
      <c r="N1" t="s">
        <v>188</v>
      </c>
    </row>
    <row r="2" spans="1:14" x14ac:dyDescent="0.3">
      <c r="A2" s="1" t="s">
        <v>189</v>
      </c>
      <c r="B2" s="2">
        <v>45738</v>
      </c>
      <c r="C2" s="1" t="s">
        <v>163</v>
      </c>
      <c r="D2" s="1" t="s">
        <v>32</v>
      </c>
      <c r="E2" s="1" t="s">
        <v>44</v>
      </c>
      <c r="F2" s="1" t="s">
        <v>32</v>
      </c>
      <c r="G2" s="1" t="s">
        <v>32</v>
      </c>
      <c r="H2" s="1" t="s">
        <v>30</v>
      </c>
      <c r="I2">
        <v>192</v>
      </c>
      <c r="J2">
        <v>174</v>
      </c>
      <c r="K2">
        <v>4</v>
      </c>
      <c r="L2">
        <v>8</v>
      </c>
      <c r="M2">
        <v>20</v>
      </c>
      <c r="N2">
        <v>20</v>
      </c>
    </row>
    <row r="3" spans="1:14" x14ac:dyDescent="0.3">
      <c r="A3" s="1" t="s">
        <v>190</v>
      </c>
      <c r="B3" s="2">
        <v>45739</v>
      </c>
      <c r="C3" s="1" t="s">
        <v>169</v>
      </c>
      <c r="D3" s="1" t="s">
        <v>98</v>
      </c>
      <c r="E3" s="1" t="s">
        <v>65</v>
      </c>
      <c r="F3" s="1" t="s">
        <v>98</v>
      </c>
      <c r="G3" s="1" t="s">
        <v>98</v>
      </c>
      <c r="H3" s="1" t="s">
        <v>103</v>
      </c>
      <c r="I3">
        <v>184</v>
      </c>
      <c r="J3">
        <v>183</v>
      </c>
      <c r="K3">
        <v>7</v>
      </c>
      <c r="L3">
        <v>9</v>
      </c>
      <c r="M3">
        <v>20</v>
      </c>
      <c r="N3">
        <v>20</v>
      </c>
    </row>
    <row r="4" spans="1:14" x14ac:dyDescent="0.3">
      <c r="A4" s="1" t="s">
        <v>191</v>
      </c>
      <c r="B4" s="2">
        <v>45739</v>
      </c>
      <c r="C4" s="1" t="s">
        <v>165</v>
      </c>
      <c r="D4" s="1" t="s">
        <v>54</v>
      </c>
      <c r="E4" s="1" t="s">
        <v>87</v>
      </c>
      <c r="F4" s="1" t="s">
        <v>87</v>
      </c>
      <c r="G4" s="1" t="s">
        <v>54</v>
      </c>
      <c r="H4" s="1" t="s">
        <v>55</v>
      </c>
      <c r="I4">
        <v>208</v>
      </c>
      <c r="J4">
        <v>198</v>
      </c>
      <c r="K4">
        <v>6</v>
      </c>
      <c r="L4">
        <v>7</v>
      </c>
      <c r="M4">
        <v>20</v>
      </c>
      <c r="N4">
        <v>20</v>
      </c>
    </row>
    <row r="5" spans="1:14" x14ac:dyDescent="0.3">
      <c r="A5" s="1" t="s">
        <v>192</v>
      </c>
      <c r="B5" s="2">
        <v>45740</v>
      </c>
      <c r="C5" s="1" t="s">
        <v>167</v>
      </c>
      <c r="D5" s="1" t="s">
        <v>76</v>
      </c>
      <c r="E5" s="1" t="s">
        <v>10</v>
      </c>
      <c r="F5" s="1" t="s">
        <v>10</v>
      </c>
      <c r="G5" s="1" t="s">
        <v>76</v>
      </c>
      <c r="H5" s="1" t="s">
        <v>74</v>
      </c>
      <c r="I5">
        <v>193</v>
      </c>
      <c r="J5">
        <v>165</v>
      </c>
      <c r="K5">
        <v>5</v>
      </c>
      <c r="L5">
        <v>10</v>
      </c>
      <c r="M5">
        <v>20</v>
      </c>
      <c r="N5">
        <v>17.2</v>
      </c>
    </row>
    <row r="6" spans="1:14" x14ac:dyDescent="0.3">
      <c r="A6" s="1" t="s">
        <v>193</v>
      </c>
      <c r="B6" s="2">
        <v>45741</v>
      </c>
      <c r="C6" s="1" t="s">
        <v>164</v>
      </c>
      <c r="D6" s="1" t="s">
        <v>44</v>
      </c>
      <c r="E6" s="1" t="s">
        <v>76</v>
      </c>
      <c r="F6" s="1" t="s">
        <v>44</v>
      </c>
      <c r="G6" s="1" t="s">
        <v>76</v>
      </c>
      <c r="H6" s="1" t="s">
        <v>83</v>
      </c>
      <c r="I6">
        <v>181</v>
      </c>
      <c r="J6">
        <v>185</v>
      </c>
      <c r="K6">
        <v>5</v>
      </c>
      <c r="L6">
        <v>4</v>
      </c>
      <c r="M6">
        <v>20</v>
      </c>
      <c r="N6">
        <v>19.3</v>
      </c>
    </row>
    <row r="7" spans="1:14" x14ac:dyDescent="0.3">
      <c r="A7" s="1" t="s">
        <v>194</v>
      </c>
      <c r="B7" s="2">
        <v>45742</v>
      </c>
      <c r="C7" s="1" t="s">
        <v>166</v>
      </c>
      <c r="D7" s="1" t="s">
        <v>65</v>
      </c>
      <c r="E7" s="1" t="s">
        <v>54</v>
      </c>
      <c r="F7" s="1" t="s">
        <v>65</v>
      </c>
      <c r="G7" s="1" t="s">
        <v>54</v>
      </c>
      <c r="H7" s="1" t="s">
        <v>58</v>
      </c>
      <c r="I7">
        <v>164</v>
      </c>
      <c r="J7">
        <v>165</v>
      </c>
      <c r="K7">
        <v>8</v>
      </c>
      <c r="L7">
        <v>3</v>
      </c>
      <c r="M7">
        <v>20</v>
      </c>
      <c r="N7">
        <v>18.399999999999999</v>
      </c>
    </row>
    <row r="8" spans="1:14" x14ac:dyDescent="0.3">
      <c r="A8" s="1" t="s">
        <v>195</v>
      </c>
      <c r="B8" s="2">
        <v>45743</v>
      </c>
      <c r="C8" s="1" t="s">
        <v>163</v>
      </c>
      <c r="D8" s="1" t="s">
        <v>32</v>
      </c>
      <c r="E8" s="1" t="s">
        <v>87</v>
      </c>
      <c r="F8" s="1" t="s">
        <v>87</v>
      </c>
      <c r="G8" s="1" t="s">
        <v>32</v>
      </c>
      <c r="H8" s="1" t="s">
        <v>33</v>
      </c>
      <c r="I8">
        <v>178</v>
      </c>
      <c r="J8">
        <v>169</v>
      </c>
      <c r="K8">
        <v>6</v>
      </c>
      <c r="L8">
        <v>9</v>
      </c>
      <c r="M8">
        <v>20</v>
      </c>
      <c r="N8">
        <v>20</v>
      </c>
    </row>
    <row r="9" spans="1:14" x14ac:dyDescent="0.3">
      <c r="A9" s="1" t="s">
        <v>196</v>
      </c>
      <c r="B9" s="2">
        <v>45744</v>
      </c>
      <c r="C9" s="1" t="s">
        <v>162</v>
      </c>
      <c r="D9" s="1" t="s">
        <v>10</v>
      </c>
      <c r="E9" s="1" t="s">
        <v>98</v>
      </c>
      <c r="F9" s="1" t="s">
        <v>10</v>
      </c>
      <c r="G9" s="1" t="s">
        <v>98</v>
      </c>
      <c r="H9" s="1" t="s">
        <v>101</v>
      </c>
      <c r="I9">
        <v>154</v>
      </c>
      <c r="J9">
        <v>155</v>
      </c>
      <c r="K9">
        <v>10</v>
      </c>
      <c r="L9">
        <v>3</v>
      </c>
      <c r="M9">
        <v>19.5</v>
      </c>
      <c r="N9">
        <v>17</v>
      </c>
    </row>
    <row r="10" spans="1:14" x14ac:dyDescent="0.3">
      <c r="A10" s="1" t="s">
        <v>197</v>
      </c>
      <c r="B10" s="2">
        <v>45745</v>
      </c>
      <c r="C10" s="1" t="s">
        <v>165</v>
      </c>
      <c r="D10" s="1" t="s">
        <v>54</v>
      </c>
      <c r="E10" s="1" t="s">
        <v>44</v>
      </c>
      <c r="F10" s="1" t="s">
        <v>44</v>
      </c>
      <c r="G10" s="1" t="s">
        <v>54</v>
      </c>
      <c r="H10" s="1" t="s">
        <v>60</v>
      </c>
      <c r="I10">
        <v>171</v>
      </c>
      <c r="J10">
        <v>156</v>
      </c>
      <c r="K10">
        <v>5</v>
      </c>
      <c r="L10">
        <v>9</v>
      </c>
      <c r="M10">
        <v>20</v>
      </c>
      <c r="N10">
        <v>18.3</v>
      </c>
    </row>
    <row r="11" spans="1:14" x14ac:dyDescent="0.3">
      <c r="A11" s="1" t="s">
        <v>198</v>
      </c>
      <c r="B11" s="2">
        <v>45746</v>
      </c>
      <c r="C11" s="1" t="s">
        <v>167</v>
      </c>
      <c r="D11" s="1" t="s">
        <v>76</v>
      </c>
      <c r="E11" s="1" t="s">
        <v>65</v>
      </c>
      <c r="F11" s="1" t="s">
        <v>65</v>
      </c>
      <c r="G11" s="1" t="s">
        <v>65</v>
      </c>
      <c r="H11" s="1" t="s">
        <v>66</v>
      </c>
      <c r="I11">
        <v>149</v>
      </c>
      <c r="J11">
        <v>150</v>
      </c>
      <c r="K11">
        <v>9</v>
      </c>
      <c r="L11">
        <v>4</v>
      </c>
      <c r="M11">
        <v>20</v>
      </c>
      <c r="N11">
        <v>18.100000000000001</v>
      </c>
    </row>
    <row r="12" spans="1:14" x14ac:dyDescent="0.3">
      <c r="A12" s="1" t="s">
        <v>199</v>
      </c>
      <c r="B12" s="2">
        <v>45747</v>
      </c>
      <c r="C12" s="1" t="s">
        <v>168</v>
      </c>
      <c r="D12" s="1" t="s">
        <v>87</v>
      </c>
      <c r="E12" s="1" t="s">
        <v>10</v>
      </c>
      <c r="F12" s="1" t="s">
        <v>10</v>
      </c>
      <c r="G12" s="1" t="s">
        <v>87</v>
      </c>
      <c r="H12" s="1" t="s">
        <v>85</v>
      </c>
      <c r="I12">
        <v>177</v>
      </c>
      <c r="J12">
        <v>152</v>
      </c>
      <c r="K12">
        <v>7</v>
      </c>
      <c r="L12">
        <v>8</v>
      </c>
      <c r="M12">
        <v>20</v>
      </c>
      <c r="N12">
        <v>18.399999999999999</v>
      </c>
    </row>
    <row r="13" spans="1:14" x14ac:dyDescent="0.3">
      <c r="A13" s="1" t="s">
        <v>200</v>
      </c>
      <c r="B13" s="2">
        <v>45748</v>
      </c>
      <c r="C13" s="1" t="s">
        <v>169</v>
      </c>
      <c r="D13" s="1" t="s">
        <v>98</v>
      </c>
      <c r="E13" s="1" t="s">
        <v>32</v>
      </c>
      <c r="F13" s="1" t="s">
        <v>32</v>
      </c>
      <c r="G13" s="1" t="s">
        <v>32</v>
      </c>
      <c r="H13" s="1" t="s">
        <v>36</v>
      </c>
      <c r="I13">
        <v>161</v>
      </c>
      <c r="J13">
        <v>162</v>
      </c>
      <c r="K13">
        <v>8</v>
      </c>
      <c r="L13">
        <v>6</v>
      </c>
      <c r="M13">
        <v>20</v>
      </c>
      <c r="N13">
        <v>19.2</v>
      </c>
    </row>
    <row r="14" spans="1:14" x14ac:dyDescent="0.3">
      <c r="A14" s="1" t="s">
        <v>201</v>
      </c>
      <c r="B14" s="2">
        <v>45749</v>
      </c>
      <c r="C14" s="1" t="s">
        <v>164</v>
      </c>
      <c r="D14" s="1" t="s">
        <v>44</v>
      </c>
      <c r="E14" s="1" t="s">
        <v>65</v>
      </c>
      <c r="F14" s="1" t="s">
        <v>65</v>
      </c>
      <c r="G14" s="1" t="s">
        <v>44</v>
      </c>
      <c r="H14" s="1" t="s">
        <v>42</v>
      </c>
      <c r="I14">
        <v>198</v>
      </c>
      <c r="J14">
        <v>187</v>
      </c>
      <c r="K14">
        <v>3</v>
      </c>
      <c r="L14">
        <v>8</v>
      </c>
      <c r="M14">
        <v>20</v>
      </c>
      <c r="N14">
        <v>20</v>
      </c>
    </row>
    <row r="15" spans="1:14" x14ac:dyDescent="0.3">
      <c r="A15" s="1" t="s">
        <v>202</v>
      </c>
      <c r="B15" s="2">
        <v>45750</v>
      </c>
      <c r="C15" s="1" t="s">
        <v>162</v>
      </c>
      <c r="D15" s="1" t="s">
        <v>10</v>
      </c>
      <c r="E15" s="1" t="s">
        <v>76</v>
      </c>
      <c r="F15" s="1" t="s">
        <v>76</v>
      </c>
      <c r="G15" s="1" t="s">
        <v>10</v>
      </c>
      <c r="H15" s="1" t="s">
        <v>8</v>
      </c>
      <c r="I15">
        <v>188</v>
      </c>
      <c r="J15">
        <v>186</v>
      </c>
      <c r="K15">
        <v>6</v>
      </c>
      <c r="L15">
        <v>8</v>
      </c>
      <c r="M15">
        <v>20</v>
      </c>
      <c r="N15">
        <v>20</v>
      </c>
    </row>
    <row r="16" spans="1:14" x14ac:dyDescent="0.3">
      <c r="A16" s="1" t="s">
        <v>203</v>
      </c>
      <c r="B16" s="2">
        <v>45751</v>
      </c>
      <c r="C16" s="1" t="s">
        <v>165</v>
      </c>
      <c r="D16" s="1" t="s">
        <v>54</v>
      </c>
      <c r="E16" s="1" t="s">
        <v>98</v>
      </c>
      <c r="F16" s="1" t="s">
        <v>98</v>
      </c>
      <c r="G16" s="1" t="s">
        <v>98</v>
      </c>
      <c r="H16" s="1" t="s">
        <v>96</v>
      </c>
      <c r="I16">
        <v>169</v>
      </c>
      <c r="J16">
        <v>170</v>
      </c>
      <c r="K16">
        <v>8</v>
      </c>
      <c r="L16">
        <v>4</v>
      </c>
      <c r="M16">
        <v>20</v>
      </c>
      <c r="N16">
        <v>19.100000000000001</v>
      </c>
    </row>
    <row r="17" spans="1:14" x14ac:dyDescent="0.3">
      <c r="A17" s="1" t="s">
        <v>204</v>
      </c>
      <c r="B17" s="2">
        <v>45752</v>
      </c>
      <c r="C17" s="1" t="s">
        <v>166</v>
      </c>
      <c r="D17" s="1" t="s">
        <v>65</v>
      </c>
      <c r="E17" s="1" t="s">
        <v>87</v>
      </c>
      <c r="F17" s="1" t="s">
        <v>65</v>
      </c>
      <c r="G17" s="1" t="s">
        <v>87</v>
      </c>
      <c r="H17" s="1" t="s">
        <v>88</v>
      </c>
      <c r="I17">
        <v>155</v>
      </c>
      <c r="J17">
        <v>156</v>
      </c>
      <c r="K17">
        <v>10</v>
      </c>
      <c r="L17">
        <v>6</v>
      </c>
      <c r="M17">
        <v>20</v>
      </c>
      <c r="N17">
        <v>19.399999999999999</v>
      </c>
    </row>
    <row r="18" spans="1:14" x14ac:dyDescent="0.3">
      <c r="A18" s="1" t="s">
        <v>205</v>
      </c>
      <c r="B18" s="2">
        <v>45753</v>
      </c>
      <c r="C18" s="1" t="s">
        <v>163</v>
      </c>
      <c r="D18" s="1" t="s">
        <v>32</v>
      </c>
      <c r="E18" s="1" t="s">
        <v>10</v>
      </c>
      <c r="F18" s="1" t="s">
        <v>10</v>
      </c>
      <c r="G18" s="1" t="s">
        <v>32</v>
      </c>
      <c r="H18" s="1" t="s">
        <v>30</v>
      </c>
      <c r="I18">
        <v>180</v>
      </c>
      <c r="J18">
        <v>178</v>
      </c>
      <c r="K18">
        <v>5</v>
      </c>
      <c r="L18">
        <v>8</v>
      </c>
      <c r="M18">
        <v>20</v>
      </c>
      <c r="N18">
        <v>20</v>
      </c>
    </row>
    <row r="19" spans="1:14" x14ac:dyDescent="0.3">
      <c r="A19" s="1" t="s">
        <v>206</v>
      </c>
      <c r="B19" s="2">
        <v>45754</v>
      </c>
      <c r="C19" s="1" t="s">
        <v>164</v>
      </c>
      <c r="D19" s="1" t="s">
        <v>44</v>
      </c>
      <c r="E19" s="1" t="s">
        <v>98</v>
      </c>
      <c r="F19" s="1" t="s">
        <v>44</v>
      </c>
      <c r="G19" s="1" t="s">
        <v>44</v>
      </c>
      <c r="H19" s="1" t="s">
        <v>47</v>
      </c>
      <c r="I19">
        <v>194</v>
      </c>
      <c r="J19">
        <v>188</v>
      </c>
      <c r="K19">
        <v>6</v>
      </c>
      <c r="L19">
        <v>7</v>
      </c>
      <c r="M19">
        <v>20</v>
      </c>
      <c r="N19">
        <v>20</v>
      </c>
    </row>
    <row r="20" spans="1:14" x14ac:dyDescent="0.3">
      <c r="A20" s="1" t="s">
        <v>207</v>
      </c>
      <c r="B20" s="2">
        <v>45755</v>
      </c>
      <c r="C20" s="1" t="s">
        <v>167</v>
      </c>
      <c r="D20" s="1" t="s">
        <v>76</v>
      </c>
      <c r="E20" s="1" t="s">
        <v>54</v>
      </c>
      <c r="F20" s="1" t="s">
        <v>54</v>
      </c>
      <c r="G20" s="1" t="s">
        <v>76</v>
      </c>
      <c r="H20" s="1" t="s">
        <v>78</v>
      </c>
      <c r="I20">
        <v>172</v>
      </c>
      <c r="J20">
        <v>171</v>
      </c>
      <c r="K20">
        <v>9</v>
      </c>
      <c r="L20">
        <v>10</v>
      </c>
      <c r="M20">
        <v>20</v>
      </c>
      <c r="N20">
        <v>20</v>
      </c>
    </row>
    <row r="21" spans="1:14" x14ac:dyDescent="0.3">
      <c r="A21" s="1" t="s">
        <v>208</v>
      </c>
      <c r="B21" s="2">
        <v>45756</v>
      </c>
      <c r="C21" s="1" t="s">
        <v>168</v>
      </c>
      <c r="D21" s="1" t="s">
        <v>87</v>
      </c>
      <c r="E21" s="1" t="s">
        <v>65</v>
      </c>
      <c r="F21" s="1" t="s">
        <v>65</v>
      </c>
      <c r="G21" s="1" t="s">
        <v>65</v>
      </c>
      <c r="H21" s="1" t="s">
        <v>69</v>
      </c>
      <c r="I21">
        <v>166</v>
      </c>
      <c r="J21">
        <v>167</v>
      </c>
      <c r="K21">
        <v>7</v>
      </c>
      <c r="L21">
        <v>5</v>
      </c>
      <c r="M21">
        <v>20</v>
      </c>
      <c r="N21">
        <v>19.100000000000001</v>
      </c>
    </row>
    <row r="22" spans="1:14" x14ac:dyDescent="0.3">
      <c r="A22" s="1" t="s">
        <v>209</v>
      </c>
      <c r="B22" s="2">
        <v>45757</v>
      </c>
      <c r="C22" s="1" t="s">
        <v>162</v>
      </c>
      <c r="D22" s="1" t="s">
        <v>10</v>
      </c>
      <c r="E22" s="1" t="s">
        <v>54</v>
      </c>
      <c r="F22" s="1" t="s">
        <v>54</v>
      </c>
      <c r="G22" s="1" t="s">
        <v>10</v>
      </c>
      <c r="H22" s="1" t="s">
        <v>15</v>
      </c>
      <c r="I22">
        <v>175</v>
      </c>
      <c r="J22">
        <v>170</v>
      </c>
      <c r="K22">
        <v>7</v>
      </c>
      <c r="L22">
        <v>9</v>
      </c>
      <c r="M22">
        <v>20</v>
      </c>
      <c r="N22">
        <v>20</v>
      </c>
    </row>
    <row r="23" spans="1:14" x14ac:dyDescent="0.3">
      <c r="A23" s="1" t="s">
        <v>210</v>
      </c>
      <c r="B23" s="2">
        <v>45758</v>
      </c>
      <c r="C23" s="1" t="s">
        <v>169</v>
      </c>
      <c r="D23" s="1" t="s">
        <v>98</v>
      </c>
      <c r="E23" s="1" t="s">
        <v>76</v>
      </c>
      <c r="F23" s="1" t="s">
        <v>76</v>
      </c>
      <c r="G23" s="1" t="s">
        <v>98</v>
      </c>
      <c r="H23" s="1" t="s">
        <v>99</v>
      </c>
      <c r="I23">
        <v>159</v>
      </c>
      <c r="J23">
        <v>158</v>
      </c>
      <c r="K23">
        <v>6</v>
      </c>
      <c r="L23">
        <v>7</v>
      </c>
      <c r="M23">
        <v>20</v>
      </c>
      <c r="N23">
        <v>20</v>
      </c>
    </row>
    <row r="24" spans="1:14" x14ac:dyDescent="0.3">
      <c r="A24" s="1" t="s">
        <v>211</v>
      </c>
      <c r="B24" s="2">
        <v>45759</v>
      </c>
      <c r="C24" s="1" t="s">
        <v>163</v>
      </c>
      <c r="D24" s="1" t="s">
        <v>32</v>
      </c>
      <c r="E24" s="1" t="s">
        <v>44</v>
      </c>
      <c r="F24" s="1" t="s">
        <v>44</v>
      </c>
      <c r="G24" s="1" t="s">
        <v>44</v>
      </c>
      <c r="H24" s="1" t="s">
        <v>42</v>
      </c>
      <c r="I24">
        <v>183</v>
      </c>
      <c r="J24">
        <v>184</v>
      </c>
      <c r="K24">
        <v>8</v>
      </c>
      <c r="L24">
        <v>6</v>
      </c>
      <c r="M24">
        <v>20</v>
      </c>
      <c r="N24">
        <v>19.399999999999999</v>
      </c>
    </row>
    <row r="25" spans="1:14" x14ac:dyDescent="0.3">
      <c r="A25" s="1" t="s">
        <v>212</v>
      </c>
      <c r="B25" s="2">
        <v>45760</v>
      </c>
      <c r="C25" s="1" t="s">
        <v>166</v>
      </c>
      <c r="D25" s="1" t="s">
        <v>65</v>
      </c>
      <c r="E25" s="1" t="s">
        <v>10</v>
      </c>
      <c r="F25" s="1" t="s">
        <v>65</v>
      </c>
      <c r="G25" s="1" t="s">
        <v>10</v>
      </c>
      <c r="H25" s="1" t="s">
        <v>19</v>
      </c>
      <c r="I25">
        <v>168</v>
      </c>
      <c r="J25">
        <v>171</v>
      </c>
      <c r="K25">
        <v>5</v>
      </c>
      <c r="L25">
        <v>4</v>
      </c>
      <c r="M25">
        <v>20</v>
      </c>
      <c r="N25">
        <v>19.100000000000001</v>
      </c>
    </row>
    <row r="26" spans="1:14" x14ac:dyDescent="0.3">
      <c r="A26" s="1" t="s">
        <v>213</v>
      </c>
      <c r="B26" s="2">
        <v>45761</v>
      </c>
      <c r="C26" s="1" t="s">
        <v>168</v>
      </c>
      <c r="D26" s="1" t="s">
        <v>87</v>
      </c>
      <c r="E26" s="1" t="s">
        <v>98</v>
      </c>
      <c r="F26" s="1" t="s">
        <v>87</v>
      </c>
      <c r="G26" s="1" t="s">
        <v>98</v>
      </c>
      <c r="H26" s="1" t="s">
        <v>103</v>
      </c>
      <c r="I26">
        <v>186</v>
      </c>
      <c r="J26">
        <v>187</v>
      </c>
      <c r="K26">
        <v>6</v>
      </c>
      <c r="L26">
        <v>5</v>
      </c>
      <c r="M26">
        <v>20</v>
      </c>
      <c r="N26">
        <v>19.2</v>
      </c>
    </row>
    <row r="27" spans="1:14" x14ac:dyDescent="0.3">
      <c r="A27" s="1" t="s">
        <v>214</v>
      </c>
      <c r="B27" s="2">
        <v>45762</v>
      </c>
      <c r="C27" s="1" t="s">
        <v>165</v>
      </c>
      <c r="D27" s="1" t="s">
        <v>54</v>
      </c>
      <c r="E27" s="1" t="s">
        <v>32</v>
      </c>
      <c r="F27" s="1" t="s">
        <v>32</v>
      </c>
      <c r="G27" s="1" t="s">
        <v>32</v>
      </c>
      <c r="H27" s="1" t="s">
        <v>39</v>
      </c>
      <c r="I27">
        <v>160</v>
      </c>
      <c r="J27">
        <v>161</v>
      </c>
      <c r="K27">
        <v>9</v>
      </c>
      <c r="L27">
        <v>7</v>
      </c>
      <c r="M27">
        <v>20</v>
      </c>
      <c r="N27">
        <v>19.5</v>
      </c>
    </row>
    <row r="28" spans="1:14" x14ac:dyDescent="0.3">
      <c r="A28" s="1" t="s">
        <v>215</v>
      </c>
      <c r="B28" s="2">
        <v>45763</v>
      </c>
      <c r="C28" s="1" t="s">
        <v>167</v>
      </c>
      <c r="D28" s="1" t="s">
        <v>76</v>
      </c>
      <c r="E28" s="1" t="s">
        <v>44</v>
      </c>
      <c r="F28" s="1" t="s">
        <v>44</v>
      </c>
      <c r="G28" s="1" t="s">
        <v>76</v>
      </c>
      <c r="H28" s="1" t="s">
        <v>74</v>
      </c>
      <c r="I28">
        <v>190</v>
      </c>
      <c r="J28">
        <v>185</v>
      </c>
      <c r="K28">
        <v>5</v>
      </c>
      <c r="L28">
        <v>8</v>
      </c>
      <c r="M28">
        <v>20</v>
      </c>
      <c r="N28">
        <v>20</v>
      </c>
    </row>
    <row r="29" spans="1:14" x14ac:dyDescent="0.3">
      <c r="A29" s="1" t="s">
        <v>216</v>
      </c>
      <c r="B29" s="2">
        <v>45764</v>
      </c>
      <c r="C29" s="1" t="s">
        <v>162</v>
      </c>
      <c r="D29" s="1" t="s">
        <v>10</v>
      </c>
      <c r="E29" s="1" t="s">
        <v>65</v>
      </c>
      <c r="F29" s="1" t="s">
        <v>10</v>
      </c>
      <c r="G29" s="1" t="s">
        <v>10</v>
      </c>
      <c r="H29" s="1" t="s">
        <v>24</v>
      </c>
      <c r="I29">
        <v>189</v>
      </c>
      <c r="J29">
        <v>173</v>
      </c>
      <c r="K29">
        <v>3</v>
      </c>
      <c r="L29">
        <v>9</v>
      </c>
      <c r="M29">
        <v>20</v>
      </c>
      <c r="N29">
        <v>20</v>
      </c>
    </row>
    <row r="30" spans="1:14" x14ac:dyDescent="0.3">
      <c r="A30" s="1" t="s">
        <v>217</v>
      </c>
      <c r="B30" s="2">
        <v>45765</v>
      </c>
      <c r="C30" s="1" t="s">
        <v>169</v>
      </c>
      <c r="D30" s="1" t="s">
        <v>98</v>
      </c>
      <c r="E30" s="1" t="s">
        <v>87</v>
      </c>
      <c r="F30" s="1" t="s">
        <v>98</v>
      </c>
      <c r="G30" s="1" t="s">
        <v>87</v>
      </c>
      <c r="H30" s="1" t="s">
        <v>91</v>
      </c>
      <c r="I30">
        <v>157</v>
      </c>
      <c r="J30">
        <v>158</v>
      </c>
      <c r="K30">
        <v>7</v>
      </c>
      <c r="L30">
        <v>6</v>
      </c>
      <c r="M30">
        <v>20</v>
      </c>
      <c r="N30">
        <v>19.3</v>
      </c>
    </row>
    <row r="31" spans="1:14" x14ac:dyDescent="0.3">
      <c r="A31" s="1" t="s">
        <v>218</v>
      </c>
      <c r="B31" s="2">
        <v>45766</v>
      </c>
      <c r="C31" s="1" t="s">
        <v>163</v>
      </c>
      <c r="D31" s="1" t="s">
        <v>32</v>
      </c>
      <c r="E31" s="1" t="s">
        <v>54</v>
      </c>
      <c r="F31" s="1" t="s">
        <v>54</v>
      </c>
      <c r="G31" s="1" t="s">
        <v>54</v>
      </c>
      <c r="H31" s="1" t="s">
        <v>52</v>
      </c>
      <c r="I31">
        <v>179</v>
      </c>
      <c r="J31">
        <v>180</v>
      </c>
      <c r="K31">
        <v>6</v>
      </c>
      <c r="L31">
        <v>5</v>
      </c>
      <c r="M31">
        <v>20</v>
      </c>
      <c r="N31">
        <v>19.2</v>
      </c>
    </row>
    <row r="32" spans="1:14" x14ac:dyDescent="0.3">
      <c r="A32" s="1" t="s">
        <v>219</v>
      </c>
      <c r="B32" s="2">
        <v>45767</v>
      </c>
      <c r="C32" s="1" t="s">
        <v>164</v>
      </c>
      <c r="D32" s="1" t="s">
        <v>44</v>
      </c>
      <c r="E32" s="1" t="s">
        <v>10</v>
      </c>
      <c r="F32" s="1" t="s">
        <v>10</v>
      </c>
      <c r="G32" s="1" t="s">
        <v>44</v>
      </c>
      <c r="H32" s="1" t="s">
        <v>50</v>
      </c>
      <c r="I32">
        <v>195</v>
      </c>
      <c r="J32">
        <v>190</v>
      </c>
      <c r="K32">
        <v>4</v>
      </c>
      <c r="L32">
        <v>8</v>
      </c>
      <c r="M32">
        <v>20</v>
      </c>
      <c r="N32">
        <v>20</v>
      </c>
    </row>
    <row r="33" spans="1:14" x14ac:dyDescent="0.3">
      <c r="A33" s="1" t="s">
        <v>220</v>
      </c>
      <c r="B33" s="2">
        <v>45768</v>
      </c>
      <c r="C33" s="1" t="s">
        <v>166</v>
      </c>
      <c r="D33" s="1" t="s">
        <v>65</v>
      </c>
      <c r="E33" s="1" t="s">
        <v>76</v>
      </c>
      <c r="F33" s="1" t="s">
        <v>76</v>
      </c>
      <c r="G33" s="1" t="s">
        <v>65</v>
      </c>
      <c r="H33" s="1" t="s">
        <v>71</v>
      </c>
      <c r="I33">
        <v>170</v>
      </c>
      <c r="J33">
        <v>169</v>
      </c>
      <c r="K33">
        <v>6</v>
      </c>
      <c r="L33">
        <v>7</v>
      </c>
      <c r="M33">
        <v>20</v>
      </c>
      <c r="N33">
        <v>20</v>
      </c>
    </row>
    <row r="34" spans="1:14" x14ac:dyDescent="0.3">
      <c r="A34" s="1" t="s">
        <v>221</v>
      </c>
      <c r="B34" s="2">
        <v>45769</v>
      </c>
      <c r="C34" s="1" t="s">
        <v>168</v>
      </c>
      <c r="D34" s="1" t="s">
        <v>87</v>
      </c>
      <c r="E34" s="1" t="s">
        <v>32</v>
      </c>
      <c r="F34" s="1" t="s">
        <v>87</v>
      </c>
      <c r="G34" s="1" t="s">
        <v>87</v>
      </c>
      <c r="H34" s="1" t="s">
        <v>93</v>
      </c>
      <c r="I34">
        <v>182</v>
      </c>
      <c r="J34">
        <v>175</v>
      </c>
      <c r="K34">
        <v>5</v>
      </c>
      <c r="L34">
        <v>9</v>
      </c>
      <c r="M34">
        <v>20</v>
      </c>
      <c r="N34">
        <v>20</v>
      </c>
    </row>
    <row r="35" spans="1:14" x14ac:dyDescent="0.3">
      <c r="A35" s="1" t="s">
        <v>222</v>
      </c>
      <c r="B35" s="2">
        <v>45770</v>
      </c>
      <c r="C35" s="1" t="s">
        <v>165</v>
      </c>
      <c r="D35" s="1" t="s">
        <v>54</v>
      </c>
      <c r="E35" s="1" t="s">
        <v>65</v>
      </c>
      <c r="F35" s="1" t="s">
        <v>65</v>
      </c>
      <c r="G35" s="1" t="s">
        <v>54</v>
      </c>
      <c r="H35" s="1" t="s">
        <v>55</v>
      </c>
      <c r="I35">
        <v>185</v>
      </c>
      <c r="J35">
        <v>178</v>
      </c>
      <c r="K35">
        <v>7</v>
      </c>
      <c r="L35">
        <v>9</v>
      </c>
      <c r="M35">
        <v>20</v>
      </c>
      <c r="N35">
        <v>20</v>
      </c>
    </row>
    <row r="36" spans="1:14" x14ac:dyDescent="0.3">
      <c r="A36" s="1" t="s">
        <v>223</v>
      </c>
      <c r="B36" s="2">
        <v>45771</v>
      </c>
      <c r="C36" s="1" t="s">
        <v>169</v>
      </c>
      <c r="D36" s="1" t="s">
        <v>98</v>
      </c>
      <c r="E36" s="1" t="s">
        <v>44</v>
      </c>
      <c r="F36" s="1" t="s">
        <v>98</v>
      </c>
      <c r="G36" s="1" t="s">
        <v>98</v>
      </c>
      <c r="H36" s="1" t="s">
        <v>101</v>
      </c>
      <c r="I36">
        <v>197</v>
      </c>
      <c r="J36">
        <v>196</v>
      </c>
      <c r="K36">
        <v>5</v>
      </c>
      <c r="L36">
        <v>8</v>
      </c>
      <c r="M36">
        <v>20</v>
      </c>
      <c r="N36">
        <v>20</v>
      </c>
    </row>
    <row r="37" spans="1:14" x14ac:dyDescent="0.3">
      <c r="A37" s="1" t="s">
        <v>224</v>
      </c>
      <c r="B37" s="2">
        <v>45772</v>
      </c>
      <c r="C37" s="1" t="s">
        <v>162</v>
      </c>
      <c r="D37" s="1" t="s">
        <v>10</v>
      </c>
      <c r="E37" s="1" t="s">
        <v>87</v>
      </c>
      <c r="F37" s="1" t="s">
        <v>87</v>
      </c>
      <c r="G37" s="1" t="s">
        <v>10</v>
      </c>
      <c r="H37" s="1" t="s">
        <v>27</v>
      </c>
      <c r="I37">
        <v>176</v>
      </c>
      <c r="J37">
        <v>172</v>
      </c>
      <c r="K37">
        <v>4</v>
      </c>
      <c r="L37">
        <v>8</v>
      </c>
      <c r="M37">
        <v>20</v>
      </c>
      <c r="N37">
        <v>20</v>
      </c>
    </row>
    <row r="38" spans="1:14" x14ac:dyDescent="0.3">
      <c r="A38" s="1" t="s">
        <v>225</v>
      </c>
      <c r="B38" s="2">
        <v>45773</v>
      </c>
      <c r="C38" s="1" t="s">
        <v>167</v>
      </c>
      <c r="D38" s="1" t="s">
        <v>76</v>
      </c>
      <c r="E38" s="1" t="s">
        <v>98</v>
      </c>
      <c r="F38" s="1" t="s">
        <v>98</v>
      </c>
      <c r="G38" s="1" t="s">
        <v>76</v>
      </c>
      <c r="H38" s="1" t="s">
        <v>80</v>
      </c>
      <c r="I38">
        <v>153</v>
      </c>
      <c r="J38">
        <v>150</v>
      </c>
      <c r="K38">
        <v>8</v>
      </c>
      <c r="L38">
        <v>10</v>
      </c>
      <c r="M38">
        <v>20</v>
      </c>
      <c r="N38">
        <v>19.3</v>
      </c>
    </row>
    <row r="39" spans="1:14" x14ac:dyDescent="0.3">
      <c r="A39" s="1" t="s">
        <v>226</v>
      </c>
      <c r="B39" s="2">
        <v>45774</v>
      </c>
      <c r="C39" s="1" t="s">
        <v>163</v>
      </c>
      <c r="D39" s="1" t="s">
        <v>32</v>
      </c>
      <c r="E39" s="1" t="s">
        <v>65</v>
      </c>
      <c r="F39" s="1" t="s">
        <v>65</v>
      </c>
      <c r="G39" s="1" t="s">
        <v>32</v>
      </c>
      <c r="H39" s="1" t="s">
        <v>33</v>
      </c>
      <c r="I39">
        <v>163</v>
      </c>
      <c r="J39">
        <v>158</v>
      </c>
      <c r="K39">
        <v>7</v>
      </c>
      <c r="L39">
        <v>8</v>
      </c>
      <c r="M39">
        <v>20</v>
      </c>
      <c r="N39">
        <v>20</v>
      </c>
    </row>
    <row r="40" spans="1:14" x14ac:dyDescent="0.3">
      <c r="A40" s="1" t="s">
        <v>227</v>
      </c>
      <c r="B40" s="2">
        <v>45775</v>
      </c>
      <c r="C40" s="1" t="s">
        <v>164</v>
      </c>
      <c r="D40" s="1" t="s">
        <v>44</v>
      </c>
      <c r="E40" s="1" t="s">
        <v>54</v>
      </c>
      <c r="F40" s="1" t="s">
        <v>54</v>
      </c>
      <c r="G40" s="1" t="s">
        <v>44</v>
      </c>
      <c r="H40" s="1" t="s">
        <v>42</v>
      </c>
      <c r="I40">
        <v>200</v>
      </c>
      <c r="J40">
        <v>195</v>
      </c>
      <c r="K40">
        <v>5</v>
      </c>
      <c r="L40">
        <v>8</v>
      </c>
      <c r="M40">
        <v>20</v>
      </c>
      <c r="N40">
        <v>20</v>
      </c>
    </row>
    <row r="41" spans="1:14" x14ac:dyDescent="0.3">
      <c r="A41" s="1" t="s">
        <v>228</v>
      </c>
      <c r="B41" s="2">
        <v>45776</v>
      </c>
      <c r="C41" s="1" t="s">
        <v>168</v>
      </c>
      <c r="D41" s="1" t="s">
        <v>87</v>
      </c>
      <c r="E41" s="1" t="s">
        <v>76</v>
      </c>
      <c r="F41" s="1" t="s">
        <v>87</v>
      </c>
      <c r="G41" s="1" t="s">
        <v>76</v>
      </c>
      <c r="H41" s="1" t="s">
        <v>83</v>
      </c>
      <c r="I41">
        <v>180</v>
      </c>
      <c r="J41">
        <v>181</v>
      </c>
      <c r="K41">
        <v>7</v>
      </c>
      <c r="L41">
        <v>4</v>
      </c>
      <c r="M41">
        <v>20</v>
      </c>
      <c r="N41">
        <v>19.399999999999999</v>
      </c>
    </row>
    <row r="42" spans="1:14" x14ac:dyDescent="0.3">
      <c r="A42" s="1" t="s">
        <v>229</v>
      </c>
      <c r="B42" s="2">
        <v>45777</v>
      </c>
      <c r="C42" s="1" t="s">
        <v>169</v>
      </c>
      <c r="D42" s="1" t="s">
        <v>98</v>
      </c>
      <c r="E42" s="1" t="s">
        <v>10</v>
      </c>
      <c r="F42" s="1" t="s">
        <v>10</v>
      </c>
      <c r="G42" s="1" t="s">
        <v>98</v>
      </c>
      <c r="H42" s="1" t="s">
        <v>96</v>
      </c>
      <c r="I42">
        <v>174</v>
      </c>
      <c r="J42">
        <v>173</v>
      </c>
      <c r="K42">
        <v>6</v>
      </c>
      <c r="L42">
        <v>7</v>
      </c>
      <c r="M42">
        <v>20</v>
      </c>
      <c r="N42">
        <v>20</v>
      </c>
    </row>
    <row r="43" spans="1:14" x14ac:dyDescent="0.3">
      <c r="A43" s="1" t="s">
        <v>230</v>
      </c>
      <c r="B43" s="2">
        <v>45778</v>
      </c>
      <c r="C43" s="1" t="s">
        <v>166</v>
      </c>
      <c r="D43" s="1" t="s">
        <v>65</v>
      </c>
      <c r="E43" s="1" t="s">
        <v>32</v>
      </c>
      <c r="F43" s="1" t="s">
        <v>32</v>
      </c>
      <c r="G43" s="1" t="s">
        <v>65</v>
      </c>
      <c r="H43" s="1" t="s">
        <v>63</v>
      </c>
      <c r="I43">
        <v>187</v>
      </c>
      <c r="J43">
        <v>175</v>
      </c>
      <c r="K43">
        <v>4</v>
      </c>
      <c r="L43">
        <v>9</v>
      </c>
      <c r="M43">
        <v>20</v>
      </c>
      <c r="N43">
        <v>20</v>
      </c>
    </row>
    <row r="44" spans="1:14" x14ac:dyDescent="0.3">
      <c r="A44" s="1" t="s">
        <v>231</v>
      </c>
      <c r="B44" s="2">
        <v>45779</v>
      </c>
      <c r="C44" s="1" t="s">
        <v>162</v>
      </c>
      <c r="D44" s="1" t="s">
        <v>10</v>
      </c>
      <c r="E44" s="1" t="s">
        <v>44</v>
      </c>
      <c r="F44" s="1" t="s">
        <v>44</v>
      </c>
      <c r="G44" s="1" t="s">
        <v>44</v>
      </c>
      <c r="H44" s="1" t="s">
        <v>45</v>
      </c>
      <c r="I44">
        <v>162</v>
      </c>
      <c r="J44">
        <v>165</v>
      </c>
      <c r="K44">
        <v>9</v>
      </c>
      <c r="L44">
        <v>5</v>
      </c>
      <c r="M44">
        <v>20</v>
      </c>
      <c r="N44">
        <v>19.2</v>
      </c>
    </row>
    <row r="45" spans="1:14" x14ac:dyDescent="0.3">
      <c r="A45" s="1" t="s">
        <v>232</v>
      </c>
      <c r="B45" s="2">
        <v>45780</v>
      </c>
      <c r="C45" s="1" t="s">
        <v>165</v>
      </c>
      <c r="D45" s="1" t="s">
        <v>54</v>
      </c>
      <c r="E45" s="1" t="s">
        <v>76</v>
      </c>
      <c r="F45" s="1" t="s">
        <v>76</v>
      </c>
      <c r="G45" s="1" t="s">
        <v>54</v>
      </c>
      <c r="H45" s="1" t="s">
        <v>52</v>
      </c>
      <c r="I45">
        <v>196</v>
      </c>
      <c r="J45">
        <v>188</v>
      </c>
      <c r="K45">
        <v>3</v>
      </c>
      <c r="L45">
        <v>8</v>
      </c>
      <c r="M45">
        <v>20</v>
      </c>
      <c r="N45">
        <v>20</v>
      </c>
    </row>
    <row r="46" spans="1:14" x14ac:dyDescent="0.3">
      <c r="A46" s="1" t="s">
        <v>233</v>
      </c>
      <c r="B46" s="2">
        <v>45781</v>
      </c>
      <c r="C46" s="1" t="s">
        <v>169</v>
      </c>
      <c r="D46" s="1" t="s">
        <v>98</v>
      </c>
      <c r="E46" s="1" t="s">
        <v>65</v>
      </c>
      <c r="F46" s="1" t="s">
        <v>65</v>
      </c>
      <c r="G46" s="1" t="s">
        <v>98</v>
      </c>
      <c r="H46" s="1" t="s">
        <v>103</v>
      </c>
      <c r="I46">
        <v>184</v>
      </c>
      <c r="J46">
        <v>183</v>
      </c>
      <c r="K46">
        <v>7</v>
      </c>
      <c r="L46">
        <v>9</v>
      </c>
      <c r="M46">
        <v>20</v>
      </c>
      <c r="N46">
        <v>20</v>
      </c>
    </row>
    <row r="47" spans="1:14" x14ac:dyDescent="0.3">
      <c r="A47" s="1" t="s">
        <v>234</v>
      </c>
      <c r="B47" s="2">
        <v>45782</v>
      </c>
      <c r="C47" s="1" t="s">
        <v>163</v>
      </c>
      <c r="D47" s="1" t="s">
        <v>32</v>
      </c>
      <c r="E47" s="1" t="s">
        <v>76</v>
      </c>
      <c r="F47" s="1" t="s">
        <v>76</v>
      </c>
      <c r="G47" s="1" t="s">
        <v>32</v>
      </c>
      <c r="H47" s="1" t="s">
        <v>30</v>
      </c>
      <c r="I47">
        <v>192</v>
      </c>
      <c r="J47">
        <v>174</v>
      </c>
      <c r="K47">
        <v>4</v>
      </c>
      <c r="L47">
        <v>8</v>
      </c>
      <c r="M47">
        <v>20</v>
      </c>
      <c r="N47">
        <v>20</v>
      </c>
    </row>
    <row r="48" spans="1:14" x14ac:dyDescent="0.3">
      <c r="A48" s="1" t="s">
        <v>235</v>
      </c>
      <c r="B48" s="2">
        <v>45783</v>
      </c>
      <c r="C48" s="1" t="s">
        <v>168</v>
      </c>
      <c r="D48" s="1" t="s">
        <v>87</v>
      </c>
      <c r="E48" s="1" t="s">
        <v>54</v>
      </c>
      <c r="F48" s="1" t="s">
        <v>87</v>
      </c>
      <c r="G48" s="1" t="s">
        <v>54</v>
      </c>
      <c r="H48" s="1" t="s">
        <v>55</v>
      </c>
      <c r="I48">
        <v>208</v>
      </c>
      <c r="J48">
        <v>198</v>
      </c>
      <c r="K48">
        <v>6</v>
      </c>
      <c r="L48">
        <v>7</v>
      </c>
      <c r="M48">
        <v>20</v>
      </c>
      <c r="N48">
        <v>20</v>
      </c>
    </row>
    <row r="49" spans="1:14" x14ac:dyDescent="0.3">
      <c r="A49" s="1" t="s">
        <v>236</v>
      </c>
      <c r="B49" s="2">
        <v>45784</v>
      </c>
      <c r="C49" s="1" t="s">
        <v>164</v>
      </c>
      <c r="D49" s="1" t="s">
        <v>44</v>
      </c>
      <c r="E49" s="1" t="s">
        <v>10</v>
      </c>
      <c r="F49" s="1" t="s">
        <v>10</v>
      </c>
      <c r="G49" s="1" t="s">
        <v>76</v>
      </c>
      <c r="H49" s="1" t="s">
        <v>74</v>
      </c>
      <c r="I49">
        <v>193</v>
      </c>
      <c r="J49">
        <v>165</v>
      </c>
      <c r="K49">
        <v>5</v>
      </c>
      <c r="L49">
        <v>10</v>
      </c>
      <c r="M49">
        <v>20</v>
      </c>
      <c r="N49">
        <v>17.2</v>
      </c>
    </row>
    <row r="50" spans="1:14" x14ac:dyDescent="0.3">
      <c r="A50" s="1" t="s">
        <v>237</v>
      </c>
      <c r="B50" s="2">
        <v>45785</v>
      </c>
      <c r="C50" s="1" t="s">
        <v>166</v>
      </c>
      <c r="D50" s="1" t="s">
        <v>65</v>
      </c>
      <c r="E50" s="1" t="s">
        <v>44</v>
      </c>
      <c r="F50" s="1" t="s">
        <v>44</v>
      </c>
      <c r="G50" s="1" t="s">
        <v>76</v>
      </c>
      <c r="H50" s="1" t="s">
        <v>83</v>
      </c>
      <c r="I50">
        <v>181</v>
      </c>
      <c r="J50">
        <v>185</v>
      </c>
      <c r="K50">
        <v>5</v>
      </c>
      <c r="L50">
        <v>4</v>
      </c>
      <c r="M50">
        <v>20</v>
      </c>
      <c r="N50">
        <v>19.3</v>
      </c>
    </row>
    <row r="51" spans="1:14" x14ac:dyDescent="0.3">
      <c r="A51" s="1" t="s">
        <v>238</v>
      </c>
      <c r="B51" s="2">
        <v>45786</v>
      </c>
      <c r="C51" s="1" t="s">
        <v>167</v>
      </c>
      <c r="D51" s="1" t="s">
        <v>76</v>
      </c>
      <c r="E51" s="1" t="s">
        <v>32</v>
      </c>
      <c r="F51" s="1" t="s">
        <v>65</v>
      </c>
      <c r="G51" s="1" t="s">
        <v>54</v>
      </c>
      <c r="H51" s="1" t="s">
        <v>58</v>
      </c>
      <c r="I51">
        <v>164</v>
      </c>
      <c r="J51">
        <v>165</v>
      </c>
      <c r="K51">
        <v>8</v>
      </c>
      <c r="L51">
        <v>3</v>
      </c>
      <c r="M51">
        <v>20</v>
      </c>
      <c r="N51">
        <v>18.399999999999999</v>
      </c>
    </row>
    <row r="52" spans="1:14" x14ac:dyDescent="0.3">
      <c r="A52" s="1" t="s">
        <v>239</v>
      </c>
      <c r="B52" s="2">
        <v>45787</v>
      </c>
      <c r="C52" s="1" t="s">
        <v>162</v>
      </c>
      <c r="D52" s="1" t="s">
        <v>10</v>
      </c>
      <c r="E52" s="1" t="s">
        <v>32</v>
      </c>
      <c r="F52" s="1" t="s">
        <v>87</v>
      </c>
      <c r="G52" s="1" t="s">
        <v>32</v>
      </c>
      <c r="H52" s="1" t="s">
        <v>33</v>
      </c>
      <c r="I52">
        <v>178</v>
      </c>
      <c r="J52">
        <v>169</v>
      </c>
      <c r="K52">
        <v>6</v>
      </c>
      <c r="L52">
        <v>9</v>
      </c>
      <c r="M52">
        <v>20</v>
      </c>
      <c r="N52">
        <v>20</v>
      </c>
    </row>
    <row r="53" spans="1:14" x14ac:dyDescent="0.3">
      <c r="A53" s="1" t="s">
        <v>240</v>
      </c>
      <c r="B53" s="2">
        <v>45788</v>
      </c>
      <c r="C53" s="1" t="s">
        <v>165</v>
      </c>
      <c r="D53" s="1" t="s">
        <v>54</v>
      </c>
      <c r="E53" s="1" t="s">
        <v>98</v>
      </c>
      <c r="F53" s="1" t="s">
        <v>10</v>
      </c>
      <c r="G53" s="1" t="s">
        <v>98</v>
      </c>
      <c r="H53" s="1" t="s">
        <v>101</v>
      </c>
      <c r="I53">
        <v>154</v>
      </c>
      <c r="J53">
        <v>155</v>
      </c>
      <c r="K53">
        <v>10</v>
      </c>
      <c r="L53">
        <v>3</v>
      </c>
      <c r="M53">
        <v>19.5</v>
      </c>
      <c r="N53">
        <v>17</v>
      </c>
    </row>
    <row r="54" spans="1:14" x14ac:dyDescent="0.3">
      <c r="A54" s="1" t="s">
        <v>241</v>
      </c>
      <c r="B54" s="2">
        <v>45789</v>
      </c>
      <c r="C54" s="1" t="s">
        <v>169</v>
      </c>
      <c r="D54" s="1" t="s">
        <v>98</v>
      </c>
      <c r="E54" s="1" t="s">
        <v>44</v>
      </c>
      <c r="F54" s="1" t="s">
        <v>44</v>
      </c>
      <c r="G54" s="1" t="s">
        <v>54</v>
      </c>
      <c r="H54" s="1" t="s">
        <v>60</v>
      </c>
      <c r="I54">
        <v>171</v>
      </c>
      <c r="J54">
        <v>156</v>
      </c>
      <c r="K54">
        <v>5</v>
      </c>
      <c r="L54">
        <v>9</v>
      </c>
      <c r="M54">
        <v>20</v>
      </c>
      <c r="N54">
        <v>18.3</v>
      </c>
    </row>
    <row r="55" spans="1:14" x14ac:dyDescent="0.3">
      <c r="A55" s="1" t="s">
        <v>242</v>
      </c>
      <c r="B55" s="2">
        <v>45790</v>
      </c>
      <c r="C55" s="1" t="s">
        <v>168</v>
      </c>
      <c r="D55" s="1" t="s">
        <v>87</v>
      </c>
      <c r="E55" s="1" t="s">
        <v>65</v>
      </c>
      <c r="F55" s="1" t="s">
        <v>65</v>
      </c>
      <c r="G55" s="1" t="s">
        <v>65</v>
      </c>
      <c r="H55" s="1" t="s">
        <v>66</v>
      </c>
      <c r="I55">
        <v>149</v>
      </c>
      <c r="J55">
        <v>150</v>
      </c>
      <c r="K55">
        <v>9</v>
      </c>
      <c r="L55">
        <v>4</v>
      </c>
      <c r="M55">
        <v>20</v>
      </c>
      <c r="N55">
        <v>18.100000000000001</v>
      </c>
    </row>
    <row r="56" spans="1:14" x14ac:dyDescent="0.3">
      <c r="A56" s="1" t="s">
        <v>243</v>
      </c>
      <c r="B56" s="2">
        <v>45791</v>
      </c>
      <c r="C56" s="1" t="s">
        <v>164</v>
      </c>
      <c r="D56" s="1" t="s">
        <v>44</v>
      </c>
      <c r="E56" s="1" t="s">
        <v>76</v>
      </c>
      <c r="F56" s="1" t="s">
        <v>10</v>
      </c>
      <c r="G56" s="1" t="s">
        <v>87</v>
      </c>
      <c r="H56" s="1" t="s">
        <v>85</v>
      </c>
      <c r="I56">
        <v>177</v>
      </c>
      <c r="J56">
        <v>152</v>
      </c>
      <c r="K56">
        <v>7</v>
      </c>
      <c r="L56">
        <v>8</v>
      </c>
      <c r="M56">
        <v>20</v>
      </c>
      <c r="N56">
        <v>18.399999999999999</v>
      </c>
    </row>
    <row r="57" spans="1:14" x14ac:dyDescent="0.3">
      <c r="A57" s="1" t="s">
        <v>244</v>
      </c>
      <c r="B57" s="2">
        <v>45792</v>
      </c>
      <c r="C57" s="1" t="s">
        <v>162</v>
      </c>
      <c r="D57" s="1" t="s">
        <v>10</v>
      </c>
      <c r="E57" s="1" t="s">
        <v>54</v>
      </c>
      <c r="F57" s="1" t="s">
        <v>32</v>
      </c>
      <c r="G57" s="1" t="s">
        <v>32</v>
      </c>
      <c r="H57" s="1" t="s">
        <v>36</v>
      </c>
      <c r="I57">
        <v>161</v>
      </c>
      <c r="J57">
        <v>162</v>
      </c>
      <c r="K57">
        <v>8</v>
      </c>
      <c r="L57">
        <v>6</v>
      </c>
      <c r="M57">
        <v>20</v>
      </c>
      <c r="N57">
        <v>19.2</v>
      </c>
    </row>
    <row r="58" spans="1:14" x14ac:dyDescent="0.3">
      <c r="A58" s="1" t="s">
        <v>245</v>
      </c>
      <c r="B58" s="2">
        <v>45793</v>
      </c>
      <c r="C58" s="1" t="s">
        <v>163</v>
      </c>
      <c r="D58" s="1" t="s">
        <v>32</v>
      </c>
      <c r="E58" s="1" t="s">
        <v>98</v>
      </c>
      <c r="F58" s="1" t="s">
        <v>65</v>
      </c>
      <c r="G58" s="1" t="s">
        <v>44</v>
      </c>
      <c r="H58" s="1" t="s">
        <v>42</v>
      </c>
      <c r="I58">
        <v>198</v>
      </c>
      <c r="J58">
        <v>187</v>
      </c>
      <c r="K58">
        <v>3</v>
      </c>
      <c r="L58">
        <v>8</v>
      </c>
      <c r="M58">
        <v>20</v>
      </c>
      <c r="N58">
        <v>20</v>
      </c>
    </row>
    <row r="59" spans="1:14" x14ac:dyDescent="0.3">
      <c r="A59" s="1" t="s">
        <v>246</v>
      </c>
      <c r="B59" s="2">
        <v>45794</v>
      </c>
      <c r="C59" s="1" t="s">
        <v>166</v>
      </c>
      <c r="D59" s="1" t="s">
        <v>65</v>
      </c>
      <c r="E59" s="1" t="s">
        <v>76</v>
      </c>
      <c r="F59" s="1" t="s">
        <v>76</v>
      </c>
      <c r="G59" s="1" t="s">
        <v>10</v>
      </c>
      <c r="H59" s="1" t="s">
        <v>8</v>
      </c>
      <c r="I59">
        <v>188</v>
      </c>
      <c r="J59">
        <v>186</v>
      </c>
      <c r="K59">
        <v>6</v>
      </c>
      <c r="L59">
        <v>8</v>
      </c>
      <c r="M59">
        <v>20</v>
      </c>
      <c r="N59">
        <v>20</v>
      </c>
    </row>
    <row r="60" spans="1:14" x14ac:dyDescent="0.3">
      <c r="A60" s="1" t="s">
        <v>247</v>
      </c>
      <c r="B60" s="2">
        <v>45795</v>
      </c>
      <c r="C60" s="1" t="s">
        <v>165</v>
      </c>
      <c r="D60" s="1" t="s">
        <v>54</v>
      </c>
      <c r="E60" s="1" t="s">
        <v>87</v>
      </c>
      <c r="F60" s="1" t="s">
        <v>98</v>
      </c>
      <c r="G60" s="1" t="s">
        <v>98</v>
      </c>
      <c r="H60" s="1" t="s">
        <v>96</v>
      </c>
      <c r="I60">
        <v>169</v>
      </c>
      <c r="J60">
        <v>170</v>
      </c>
      <c r="K60">
        <v>8</v>
      </c>
      <c r="L60">
        <v>4</v>
      </c>
      <c r="M60">
        <v>20</v>
      </c>
      <c r="N60">
        <v>19.100000000000001</v>
      </c>
    </row>
    <row r="61" spans="1:14" x14ac:dyDescent="0.3">
      <c r="A61" s="1" t="s">
        <v>248</v>
      </c>
      <c r="B61" s="2">
        <v>45796</v>
      </c>
      <c r="C61" s="1" t="s">
        <v>167</v>
      </c>
      <c r="D61" s="1" t="s">
        <v>76</v>
      </c>
      <c r="E61" s="1" t="s">
        <v>10</v>
      </c>
      <c r="F61" s="1" t="s">
        <v>65</v>
      </c>
      <c r="G61" s="1" t="s">
        <v>87</v>
      </c>
      <c r="H61" s="1" t="s">
        <v>88</v>
      </c>
      <c r="I61">
        <v>155</v>
      </c>
      <c r="J61">
        <v>156</v>
      </c>
      <c r="K61">
        <v>10</v>
      </c>
      <c r="L61">
        <v>6</v>
      </c>
      <c r="M61">
        <v>20</v>
      </c>
      <c r="N61">
        <v>19.399999999999999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66B1-1D97-4173-90FB-0220ED6F2CF4}">
  <dimension ref="A1:D11"/>
  <sheetViews>
    <sheetView workbookViewId="0"/>
  </sheetViews>
  <sheetFormatPr defaultRowHeight="14.4" x14ac:dyDescent="0.3"/>
  <cols>
    <col min="1" max="1" width="10.88671875" bestFit="1" customWidth="1"/>
    <col min="2" max="2" width="50.21875" bestFit="1" customWidth="1"/>
    <col min="3" max="4" width="10.6640625" bestFit="1" customWidth="1"/>
  </cols>
  <sheetData>
    <row r="1" spans="1:4" x14ac:dyDescent="0.3">
      <c r="A1" t="s">
        <v>159</v>
      </c>
      <c r="B1" t="s">
        <v>160</v>
      </c>
      <c r="C1" t="s">
        <v>109</v>
      </c>
      <c r="D1" t="s">
        <v>161</v>
      </c>
    </row>
    <row r="2" spans="1:4" x14ac:dyDescent="0.3">
      <c r="A2" s="1" t="s">
        <v>162</v>
      </c>
      <c r="B2" s="1" t="s">
        <v>114</v>
      </c>
      <c r="C2" s="1" t="s">
        <v>115</v>
      </c>
      <c r="D2">
        <v>33108</v>
      </c>
    </row>
    <row r="3" spans="1:4" x14ac:dyDescent="0.3">
      <c r="A3" s="1" t="s">
        <v>163</v>
      </c>
      <c r="B3" s="1" t="s">
        <v>120</v>
      </c>
      <c r="C3" s="1" t="s">
        <v>121</v>
      </c>
      <c r="D3">
        <v>38000</v>
      </c>
    </row>
    <row r="4" spans="1:4" x14ac:dyDescent="0.3">
      <c r="A4" s="1" t="s">
        <v>164</v>
      </c>
      <c r="B4" s="1" t="s">
        <v>126</v>
      </c>
      <c r="C4" s="1" t="s">
        <v>127</v>
      </c>
      <c r="D4">
        <v>42000</v>
      </c>
    </row>
    <row r="5" spans="1:4" x14ac:dyDescent="0.3">
      <c r="A5" s="1" t="s">
        <v>165</v>
      </c>
      <c r="B5" s="1" t="s">
        <v>132</v>
      </c>
      <c r="C5" s="1" t="s">
        <v>133</v>
      </c>
      <c r="D5">
        <v>68000</v>
      </c>
    </row>
    <row r="6" spans="1:4" x14ac:dyDescent="0.3">
      <c r="A6" s="1" t="s">
        <v>166</v>
      </c>
      <c r="B6" s="1" t="s">
        <v>138</v>
      </c>
      <c r="C6" s="1" t="s">
        <v>139</v>
      </c>
      <c r="D6">
        <v>41820</v>
      </c>
    </row>
    <row r="7" spans="1:4" x14ac:dyDescent="0.3">
      <c r="A7" s="1" t="s">
        <v>167</v>
      </c>
      <c r="B7" s="1" t="s">
        <v>144</v>
      </c>
      <c r="C7" s="1" t="s">
        <v>145</v>
      </c>
      <c r="D7">
        <v>30000</v>
      </c>
    </row>
    <row r="8" spans="1:4" x14ac:dyDescent="0.3">
      <c r="A8" s="1" t="s">
        <v>168</v>
      </c>
      <c r="B8" s="1" t="s">
        <v>150</v>
      </c>
      <c r="C8" s="1" t="s">
        <v>151</v>
      </c>
      <c r="D8">
        <v>38000</v>
      </c>
    </row>
    <row r="9" spans="1:4" x14ac:dyDescent="0.3">
      <c r="A9" s="1" t="s">
        <v>169</v>
      </c>
      <c r="B9" s="1" t="s">
        <v>156</v>
      </c>
      <c r="C9" s="1" t="s">
        <v>157</v>
      </c>
      <c r="D9">
        <v>39200</v>
      </c>
    </row>
    <row r="10" spans="1:4" x14ac:dyDescent="0.3">
      <c r="A10" s="1" t="s">
        <v>170</v>
      </c>
      <c r="B10" s="1" t="s">
        <v>171</v>
      </c>
      <c r="C10" s="1" t="s">
        <v>172</v>
      </c>
      <c r="D10">
        <v>132000</v>
      </c>
    </row>
    <row r="11" spans="1:4" x14ac:dyDescent="0.3">
      <c r="A11" s="1" t="s">
        <v>173</v>
      </c>
      <c r="B11" s="1" t="s">
        <v>174</v>
      </c>
      <c r="C11" s="1" t="s">
        <v>175</v>
      </c>
      <c r="D11">
        <v>50000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89D1-84F9-4071-B063-9FCA87886559}">
  <dimension ref="A1:G9"/>
  <sheetViews>
    <sheetView workbookViewId="0"/>
  </sheetViews>
  <sheetFormatPr defaultRowHeight="14.4" x14ac:dyDescent="0.3"/>
  <cols>
    <col min="1" max="1" width="10.33203125" bestFit="1" customWidth="1"/>
    <col min="2" max="2" width="29" bestFit="1" customWidth="1"/>
    <col min="3" max="3" width="14.21875" bestFit="1" customWidth="1"/>
    <col min="4" max="4" width="16.88671875" bestFit="1" customWidth="1"/>
    <col min="5" max="5" width="39.109375" bestFit="1" customWidth="1"/>
    <col min="6" max="6" width="9.77734375" bestFit="1" customWidth="1"/>
    <col min="7" max="7" width="16.33203125" bestFit="1" customWidth="1"/>
  </cols>
  <sheetData>
    <row r="1" spans="1:7" x14ac:dyDescent="0.3">
      <c r="A1" t="s">
        <v>2</v>
      </c>
      <c r="B1" t="s">
        <v>105</v>
      </c>
      <c r="C1" t="s">
        <v>106</v>
      </c>
      <c r="D1" t="s">
        <v>107</v>
      </c>
      <c r="E1" t="s">
        <v>108</v>
      </c>
      <c r="F1" t="s">
        <v>109</v>
      </c>
      <c r="G1" t="s">
        <v>110</v>
      </c>
    </row>
    <row r="2" spans="1:7" x14ac:dyDescent="0.3">
      <c r="A2" s="1" t="s">
        <v>10</v>
      </c>
      <c r="B2" s="1" t="s">
        <v>111</v>
      </c>
      <c r="C2" s="1" t="s">
        <v>112</v>
      </c>
      <c r="D2" s="1" t="s">
        <v>113</v>
      </c>
      <c r="E2" s="1" t="s">
        <v>114</v>
      </c>
      <c r="F2" s="1" t="s">
        <v>115</v>
      </c>
      <c r="G2" s="1" t="s">
        <v>116</v>
      </c>
    </row>
    <row r="3" spans="1:7" x14ac:dyDescent="0.3">
      <c r="A3" s="1" t="s">
        <v>32</v>
      </c>
      <c r="B3" s="1" t="s">
        <v>117</v>
      </c>
      <c r="C3" s="1" t="s">
        <v>118</v>
      </c>
      <c r="D3" s="1" t="s">
        <v>119</v>
      </c>
      <c r="E3" s="1" t="s">
        <v>120</v>
      </c>
      <c r="F3" s="1" t="s">
        <v>121</v>
      </c>
      <c r="G3" s="1" t="s">
        <v>122</v>
      </c>
    </row>
    <row r="4" spans="1:7" x14ac:dyDescent="0.3">
      <c r="A4" s="1" t="s">
        <v>44</v>
      </c>
      <c r="B4" s="1" t="s">
        <v>123</v>
      </c>
      <c r="C4" s="1" t="s">
        <v>124</v>
      </c>
      <c r="D4" s="1" t="s">
        <v>125</v>
      </c>
      <c r="E4" s="1" t="s">
        <v>126</v>
      </c>
      <c r="F4" s="1" t="s">
        <v>127</v>
      </c>
      <c r="G4" s="1" t="s">
        <v>128</v>
      </c>
    </row>
    <row r="5" spans="1:7" x14ac:dyDescent="0.3">
      <c r="A5" s="1" t="s">
        <v>54</v>
      </c>
      <c r="B5" s="1" t="s">
        <v>129</v>
      </c>
      <c r="C5" s="1" t="s">
        <v>130</v>
      </c>
      <c r="D5" s="1" t="s">
        <v>131</v>
      </c>
      <c r="E5" s="1" t="s">
        <v>132</v>
      </c>
      <c r="F5" s="1" t="s">
        <v>133</v>
      </c>
      <c r="G5" s="1" t="s">
        <v>134</v>
      </c>
    </row>
    <row r="6" spans="1:7" x14ac:dyDescent="0.3">
      <c r="A6" s="1" t="s">
        <v>65</v>
      </c>
      <c r="B6" s="1" t="s">
        <v>135</v>
      </c>
      <c r="C6" s="1" t="s">
        <v>136</v>
      </c>
      <c r="D6" s="1" t="s">
        <v>137</v>
      </c>
      <c r="E6" s="1" t="s">
        <v>138</v>
      </c>
      <c r="F6" s="1" t="s">
        <v>139</v>
      </c>
      <c r="G6" s="1" t="s">
        <v>140</v>
      </c>
    </row>
    <row r="7" spans="1:7" x14ac:dyDescent="0.3">
      <c r="A7" s="1" t="s">
        <v>76</v>
      </c>
      <c r="B7" s="1" t="s">
        <v>141</v>
      </c>
      <c r="C7" s="1" t="s">
        <v>142</v>
      </c>
      <c r="D7" s="1" t="s">
        <v>143</v>
      </c>
      <c r="E7" s="1" t="s">
        <v>144</v>
      </c>
      <c r="F7" s="1" t="s">
        <v>145</v>
      </c>
      <c r="G7" s="1" t="s">
        <v>146</v>
      </c>
    </row>
    <row r="8" spans="1:7" x14ac:dyDescent="0.3">
      <c r="A8" s="1" t="s">
        <v>87</v>
      </c>
      <c r="B8" s="1" t="s">
        <v>147</v>
      </c>
      <c r="C8" s="1" t="s">
        <v>148</v>
      </c>
      <c r="D8" s="1" t="s">
        <v>149</v>
      </c>
      <c r="E8" s="1" t="s">
        <v>150</v>
      </c>
      <c r="F8" s="1" t="s">
        <v>151</v>
      </c>
      <c r="G8" s="1" t="s">
        <v>152</v>
      </c>
    </row>
    <row r="9" spans="1:7" x14ac:dyDescent="0.3">
      <c r="A9" s="1" t="s">
        <v>98</v>
      </c>
      <c r="B9" s="1" t="s">
        <v>153</v>
      </c>
      <c r="C9" s="1" t="s">
        <v>154</v>
      </c>
      <c r="D9" s="1" t="s">
        <v>155</v>
      </c>
      <c r="E9" s="1" t="s">
        <v>156</v>
      </c>
      <c r="F9" s="1" t="s">
        <v>157</v>
      </c>
      <c r="G9" s="1" t="s">
        <v>158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FC9A-E396-4015-B419-4E8D7A42682B}">
  <dimension ref="A1:H34"/>
  <sheetViews>
    <sheetView workbookViewId="0"/>
  </sheetViews>
  <sheetFormatPr defaultRowHeight="14.4" x14ac:dyDescent="0.3"/>
  <cols>
    <col min="1" max="1" width="11" bestFit="1" customWidth="1"/>
    <col min="2" max="2" width="18.21875" bestFit="1" customWidth="1"/>
    <col min="3" max="3" width="10.33203125" bestFit="1" customWidth="1"/>
    <col min="4" max="4" width="12.109375" bestFit="1" customWidth="1"/>
    <col min="5" max="5" width="13.109375" bestFit="1" customWidth="1"/>
    <col min="6" max="6" width="6.21875" bestFit="1" customWidth="1"/>
    <col min="7" max="7" width="14.109375" bestFit="1" customWidth="1"/>
    <col min="8" max="8" width="20" bestFit="1" customWidth="1"/>
  </cols>
  <sheetData>
    <row r="1" spans="1:8" x14ac:dyDescent="0.3">
      <c r="A1" t="s">
        <v>0</v>
      </c>
      <c r="B1" t="s">
        <v>1</v>
      </c>
      <c r="C1" t="s">
        <v>2</v>
      </c>
      <c r="D1" t="s">
        <v>3</v>
      </c>
      <c r="E1" t="s">
        <v>4</v>
      </c>
      <c r="F1" t="s">
        <v>5</v>
      </c>
      <c r="G1" t="s">
        <v>6</v>
      </c>
      <c r="H1" t="s">
        <v>7</v>
      </c>
    </row>
    <row r="2" spans="1:8" x14ac:dyDescent="0.3">
      <c r="A2" s="1" t="s">
        <v>8</v>
      </c>
      <c r="B2" s="1" t="s">
        <v>9</v>
      </c>
      <c r="C2" s="1" t="s">
        <v>10</v>
      </c>
      <c r="D2" s="1" t="s">
        <v>11</v>
      </c>
      <c r="E2" s="1" t="s">
        <v>12</v>
      </c>
      <c r="F2">
        <v>33</v>
      </c>
      <c r="G2" s="1" t="s">
        <v>13</v>
      </c>
      <c r="H2" s="1" t="s">
        <v>14</v>
      </c>
    </row>
    <row r="3" spans="1:8" x14ac:dyDescent="0.3">
      <c r="A3" s="1" t="s">
        <v>15</v>
      </c>
      <c r="B3" s="1" t="s">
        <v>16</v>
      </c>
      <c r="C3" s="1" t="s">
        <v>10</v>
      </c>
      <c r="D3" s="1" t="s">
        <v>17</v>
      </c>
      <c r="E3" s="1" t="s">
        <v>12</v>
      </c>
      <c r="F3">
        <v>31</v>
      </c>
      <c r="G3" s="1" t="s">
        <v>13</v>
      </c>
      <c r="H3" s="1" t="s">
        <v>18</v>
      </c>
    </row>
    <row r="4" spans="1:8" x14ac:dyDescent="0.3">
      <c r="A4" s="1" t="s">
        <v>19</v>
      </c>
      <c r="B4" s="1" t="s">
        <v>20</v>
      </c>
      <c r="C4" s="1" t="s">
        <v>10</v>
      </c>
      <c r="D4" s="1" t="s">
        <v>21</v>
      </c>
      <c r="E4" s="1" t="s">
        <v>12</v>
      </c>
      <c r="F4">
        <v>26</v>
      </c>
      <c r="G4" s="1" t="s">
        <v>22</v>
      </c>
      <c r="H4" s="1" t="s">
        <v>23</v>
      </c>
    </row>
    <row r="5" spans="1:8" x14ac:dyDescent="0.3">
      <c r="A5" s="1" t="s">
        <v>24</v>
      </c>
      <c r="B5" s="1" t="s">
        <v>25</v>
      </c>
      <c r="C5" s="1" t="s">
        <v>10</v>
      </c>
      <c r="D5" s="1" t="s">
        <v>26</v>
      </c>
      <c r="E5" s="1" t="s">
        <v>12</v>
      </c>
      <c r="F5">
        <v>22</v>
      </c>
      <c r="G5" s="1" t="s">
        <v>22</v>
      </c>
      <c r="H5" s="1" t="s">
        <v>14</v>
      </c>
    </row>
    <row r="6" spans="1:8" x14ac:dyDescent="0.3">
      <c r="A6" s="1" t="s">
        <v>27</v>
      </c>
      <c r="B6" s="1" t="s">
        <v>28</v>
      </c>
      <c r="C6" s="1" t="s">
        <v>10</v>
      </c>
      <c r="D6" s="1" t="s">
        <v>26</v>
      </c>
      <c r="E6" s="1" t="s">
        <v>12</v>
      </c>
      <c r="F6">
        <v>31</v>
      </c>
      <c r="G6" s="1" t="s">
        <v>13</v>
      </c>
      <c r="H6" s="1" t="s">
        <v>29</v>
      </c>
    </row>
    <row r="7" spans="1:8" x14ac:dyDescent="0.3">
      <c r="A7" s="1" t="s">
        <v>30</v>
      </c>
      <c r="B7" s="1" t="s">
        <v>31</v>
      </c>
      <c r="C7" s="1" t="s">
        <v>32</v>
      </c>
      <c r="D7" s="1" t="s">
        <v>26</v>
      </c>
      <c r="E7" s="1" t="s">
        <v>12</v>
      </c>
      <c r="F7">
        <v>31</v>
      </c>
      <c r="G7" s="1" t="s">
        <v>22</v>
      </c>
      <c r="H7" s="1" t="s">
        <v>29</v>
      </c>
    </row>
    <row r="8" spans="1:8" x14ac:dyDescent="0.3">
      <c r="A8" s="1" t="s">
        <v>33</v>
      </c>
      <c r="B8" s="1" t="s">
        <v>34</v>
      </c>
      <c r="C8" s="1" t="s">
        <v>32</v>
      </c>
      <c r="D8" s="1" t="s">
        <v>17</v>
      </c>
      <c r="E8" s="1" t="s">
        <v>12</v>
      </c>
      <c r="F8">
        <v>32</v>
      </c>
      <c r="G8" s="1" t="s">
        <v>13</v>
      </c>
      <c r="H8" s="1" t="s">
        <v>35</v>
      </c>
    </row>
    <row r="9" spans="1:8" x14ac:dyDescent="0.3">
      <c r="A9" s="1" t="s">
        <v>36</v>
      </c>
      <c r="B9" s="1" t="s">
        <v>37</v>
      </c>
      <c r="C9" s="1" t="s">
        <v>32</v>
      </c>
      <c r="D9" s="1" t="s">
        <v>26</v>
      </c>
      <c r="E9" s="1" t="s">
        <v>38</v>
      </c>
      <c r="F9">
        <v>33</v>
      </c>
      <c r="G9" s="1" t="s">
        <v>13</v>
      </c>
      <c r="H9" s="1" t="s">
        <v>29</v>
      </c>
    </row>
    <row r="10" spans="1:8" x14ac:dyDescent="0.3">
      <c r="A10" s="1" t="s">
        <v>39</v>
      </c>
      <c r="B10" s="1" t="s">
        <v>40</v>
      </c>
      <c r="C10" s="1" t="s">
        <v>32</v>
      </c>
      <c r="D10" s="1" t="s">
        <v>17</v>
      </c>
      <c r="E10" s="1" t="s">
        <v>41</v>
      </c>
      <c r="F10">
        <v>22</v>
      </c>
      <c r="G10" s="1" t="s">
        <v>13</v>
      </c>
      <c r="H10" s="1" t="s">
        <v>18</v>
      </c>
    </row>
    <row r="11" spans="1:8" x14ac:dyDescent="0.3">
      <c r="A11" s="1" t="s">
        <v>42</v>
      </c>
      <c r="B11" s="1" t="s">
        <v>43</v>
      </c>
      <c r="C11" s="1" t="s">
        <v>44</v>
      </c>
      <c r="D11" s="1" t="s">
        <v>11</v>
      </c>
      <c r="E11" s="1" t="s">
        <v>12</v>
      </c>
      <c r="F11">
        <v>36</v>
      </c>
      <c r="G11" s="1" t="s">
        <v>13</v>
      </c>
      <c r="H11" s="1" t="s">
        <v>29</v>
      </c>
    </row>
    <row r="12" spans="1:8" x14ac:dyDescent="0.3">
      <c r="A12" s="1" t="s">
        <v>45</v>
      </c>
      <c r="B12" s="1" t="s">
        <v>46</v>
      </c>
      <c r="C12" s="1" t="s">
        <v>44</v>
      </c>
      <c r="D12" s="1" t="s">
        <v>17</v>
      </c>
      <c r="E12" s="1" t="s">
        <v>12</v>
      </c>
      <c r="F12">
        <v>31</v>
      </c>
      <c r="G12" s="1" t="s">
        <v>13</v>
      </c>
      <c r="H12" s="1" t="s">
        <v>18</v>
      </c>
    </row>
    <row r="13" spans="1:8" x14ac:dyDescent="0.3">
      <c r="A13" s="1" t="s">
        <v>47</v>
      </c>
      <c r="B13" s="1" t="s">
        <v>48</v>
      </c>
      <c r="C13" s="1" t="s">
        <v>44</v>
      </c>
      <c r="D13" s="1" t="s">
        <v>26</v>
      </c>
      <c r="E13" s="1" t="s">
        <v>49</v>
      </c>
      <c r="F13">
        <v>36</v>
      </c>
      <c r="G13" s="1" t="s">
        <v>13</v>
      </c>
      <c r="H13" s="1" t="s">
        <v>14</v>
      </c>
    </row>
    <row r="14" spans="1:8" x14ac:dyDescent="0.3">
      <c r="A14" s="1" t="s">
        <v>50</v>
      </c>
      <c r="B14" s="1" t="s">
        <v>51</v>
      </c>
      <c r="C14" s="1" t="s">
        <v>44</v>
      </c>
      <c r="D14" s="1" t="s">
        <v>21</v>
      </c>
      <c r="E14" s="1" t="s">
        <v>12</v>
      </c>
      <c r="F14">
        <v>39</v>
      </c>
      <c r="G14" s="1" t="s">
        <v>13</v>
      </c>
      <c r="H14" s="1" t="s">
        <v>23</v>
      </c>
    </row>
    <row r="15" spans="1:8" x14ac:dyDescent="0.3">
      <c r="A15" s="1" t="s">
        <v>52</v>
      </c>
      <c r="B15" s="1" t="s">
        <v>53</v>
      </c>
      <c r="C15" s="1" t="s">
        <v>54</v>
      </c>
      <c r="D15" s="1" t="s">
        <v>11</v>
      </c>
      <c r="E15" s="1" t="s">
        <v>12</v>
      </c>
      <c r="F15">
        <v>27</v>
      </c>
      <c r="G15" s="1" t="s">
        <v>22</v>
      </c>
      <c r="H15" s="1" t="s">
        <v>14</v>
      </c>
    </row>
    <row r="16" spans="1:8" x14ac:dyDescent="0.3">
      <c r="A16" s="1" t="s">
        <v>55</v>
      </c>
      <c r="B16" s="1" t="s">
        <v>56</v>
      </c>
      <c r="C16" s="1" t="s">
        <v>54</v>
      </c>
      <c r="D16" s="1" t="s">
        <v>26</v>
      </c>
      <c r="E16" s="1" t="s">
        <v>57</v>
      </c>
      <c r="F16">
        <v>36</v>
      </c>
      <c r="G16" s="1" t="s">
        <v>13</v>
      </c>
      <c r="H16" s="1" t="s">
        <v>18</v>
      </c>
    </row>
    <row r="17" spans="1:8" x14ac:dyDescent="0.3">
      <c r="A17" s="1" t="s">
        <v>58</v>
      </c>
      <c r="B17" s="1" t="s">
        <v>59</v>
      </c>
      <c r="C17" s="1" t="s">
        <v>54</v>
      </c>
      <c r="D17" s="1" t="s">
        <v>26</v>
      </c>
      <c r="E17" s="1" t="s">
        <v>57</v>
      </c>
      <c r="F17">
        <v>36</v>
      </c>
      <c r="G17" s="1" t="s">
        <v>22</v>
      </c>
      <c r="H17" s="1" t="s">
        <v>14</v>
      </c>
    </row>
    <row r="18" spans="1:8" x14ac:dyDescent="0.3">
      <c r="A18" s="1" t="s">
        <v>60</v>
      </c>
      <c r="B18" s="1" t="s">
        <v>61</v>
      </c>
      <c r="C18" s="1" t="s">
        <v>54</v>
      </c>
      <c r="D18" s="1" t="s">
        <v>17</v>
      </c>
      <c r="E18" s="1" t="s">
        <v>12</v>
      </c>
      <c r="F18">
        <v>33</v>
      </c>
      <c r="G18" s="1" t="s">
        <v>13</v>
      </c>
      <c r="H18" s="1" t="s">
        <v>62</v>
      </c>
    </row>
    <row r="19" spans="1:8" x14ac:dyDescent="0.3">
      <c r="A19" s="1" t="s">
        <v>63</v>
      </c>
      <c r="B19" s="1" t="s">
        <v>64</v>
      </c>
      <c r="C19" s="1" t="s">
        <v>65</v>
      </c>
      <c r="D19" s="1" t="s">
        <v>11</v>
      </c>
      <c r="E19" s="1" t="s">
        <v>49</v>
      </c>
      <c r="F19">
        <v>38</v>
      </c>
      <c r="G19" s="1" t="s">
        <v>22</v>
      </c>
      <c r="H19" s="1" t="s">
        <v>62</v>
      </c>
    </row>
    <row r="20" spans="1:8" x14ac:dyDescent="0.3">
      <c r="A20" s="1" t="s">
        <v>66</v>
      </c>
      <c r="B20" s="1" t="s">
        <v>67</v>
      </c>
      <c r="C20" s="1" t="s">
        <v>65</v>
      </c>
      <c r="D20" s="1" t="s">
        <v>17</v>
      </c>
      <c r="E20" s="1" t="s">
        <v>12</v>
      </c>
      <c r="F20">
        <v>30</v>
      </c>
      <c r="G20" s="1" t="s">
        <v>22</v>
      </c>
      <c r="H20" s="1" t="s">
        <v>68</v>
      </c>
    </row>
    <row r="21" spans="1:8" x14ac:dyDescent="0.3">
      <c r="A21" s="1" t="s">
        <v>69</v>
      </c>
      <c r="B21" s="1" t="s">
        <v>70</v>
      </c>
      <c r="C21" s="1" t="s">
        <v>65</v>
      </c>
      <c r="D21" s="1" t="s">
        <v>26</v>
      </c>
      <c r="E21" s="1" t="s">
        <v>49</v>
      </c>
      <c r="F21">
        <v>33</v>
      </c>
      <c r="G21" s="1" t="s">
        <v>13</v>
      </c>
      <c r="H21" s="1" t="s">
        <v>29</v>
      </c>
    </row>
    <row r="22" spans="1:8" x14ac:dyDescent="0.3">
      <c r="A22" s="1" t="s">
        <v>71</v>
      </c>
      <c r="B22" s="1" t="s">
        <v>72</v>
      </c>
      <c r="C22" s="1" t="s">
        <v>65</v>
      </c>
      <c r="D22" s="1" t="s">
        <v>26</v>
      </c>
      <c r="E22" s="1" t="s">
        <v>12</v>
      </c>
      <c r="F22">
        <v>31</v>
      </c>
      <c r="G22" s="1" t="s">
        <v>22</v>
      </c>
      <c r="H22" s="1" t="s">
        <v>73</v>
      </c>
    </row>
    <row r="23" spans="1:8" x14ac:dyDescent="0.3">
      <c r="A23" s="1" t="s">
        <v>74</v>
      </c>
      <c r="B23" s="1" t="s">
        <v>75</v>
      </c>
      <c r="C23" s="1" t="s">
        <v>76</v>
      </c>
      <c r="D23" s="1" t="s">
        <v>21</v>
      </c>
      <c r="E23" s="1" t="s">
        <v>77</v>
      </c>
      <c r="F23">
        <v>34</v>
      </c>
      <c r="G23" s="1" t="s">
        <v>13</v>
      </c>
      <c r="H23" s="1" t="s">
        <v>23</v>
      </c>
    </row>
    <row r="24" spans="1:8" x14ac:dyDescent="0.3">
      <c r="A24" s="1" t="s">
        <v>78</v>
      </c>
      <c r="B24" s="1" t="s">
        <v>79</v>
      </c>
      <c r="C24" s="1" t="s">
        <v>76</v>
      </c>
      <c r="D24" s="1" t="s">
        <v>17</v>
      </c>
      <c r="E24" s="1" t="s">
        <v>12</v>
      </c>
      <c r="F24">
        <v>34</v>
      </c>
      <c r="G24" s="1" t="s">
        <v>13</v>
      </c>
      <c r="H24" s="1" t="s">
        <v>62</v>
      </c>
    </row>
    <row r="25" spans="1:8" x14ac:dyDescent="0.3">
      <c r="A25" s="1" t="s">
        <v>80</v>
      </c>
      <c r="B25" s="1" t="s">
        <v>81</v>
      </c>
      <c r="C25" s="1" t="s">
        <v>76</v>
      </c>
      <c r="D25" s="1" t="s">
        <v>17</v>
      </c>
      <c r="E25" s="1" t="s">
        <v>38</v>
      </c>
      <c r="F25">
        <v>35</v>
      </c>
      <c r="G25" s="1" t="s">
        <v>22</v>
      </c>
      <c r="H25" s="1" t="s">
        <v>82</v>
      </c>
    </row>
    <row r="26" spans="1:8" x14ac:dyDescent="0.3">
      <c r="A26" s="1" t="s">
        <v>83</v>
      </c>
      <c r="B26" s="1" t="s">
        <v>84</v>
      </c>
      <c r="C26" s="1" t="s">
        <v>76</v>
      </c>
      <c r="D26" s="1" t="s">
        <v>11</v>
      </c>
      <c r="E26" s="1" t="s">
        <v>12</v>
      </c>
      <c r="F26">
        <v>23</v>
      </c>
      <c r="G26" s="1" t="s">
        <v>22</v>
      </c>
      <c r="H26" s="1" t="s">
        <v>62</v>
      </c>
    </row>
    <row r="27" spans="1:8" x14ac:dyDescent="0.3">
      <c r="A27" s="1" t="s">
        <v>85</v>
      </c>
      <c r="B27" s="1" t="s">
        <v>86</v>
      </c>
      <c r="C27" s="1" t="s">
        <v>87</v>
      </c>
      <c r="D27" s="1" t="s">
        <v>26</v>
      </c>
      <c r="E27" s="1" t="s">
        <v>77</v>
      </c>
      <c r="F27">
        <v>31</v>
      </c>
      <c r="G27" s="1" t="s">
        <v>13</v>
      </c>
      <c r="H27" s="1" t="s">
        <v>62</v>
      </c>
    </row>
    <row r="28" spans="1:8" x14ac:dyDescent="0.3">
      <c r="A28" s="1" t="s">
        <v>88</v>
      </c>
      <c r="B28" s="1" t="s">
        <v>89</v>
      </c>
      <c r="C28" s="1" t="s">
        <v>87</v>
      </c>
      <c r="D28" s="1" t="s">
        <v>17</v>
      </c>
      <c r="E28" s="1" t="s">
        <v>12</v>
      </c>
      <c r="F28">
        <v>25</v>
      </c>
      <c r="G28" s="1" t="s">
        <v>22</v>
      </c>
      <c r="H28" s="1" t="s">
        <v>90</v>
      </c>
    </row>
    <row r="29" spans="1:8" x14ac:dyDescent="0.3">
      <c r="A29" s="1" t="s">
        <v>91</v>
      </c>
      <c r="B29" s="1" t="s">
        <v>92</v>
      </c>
      <c r="C29" s="1" t="s">
        <v>87</v>
      </c>
      <c r="D29" s="1" t="s">
        <v>21</v>
      </c>
      <c r="E29" s="1" t="s">
        <v>12</v>
      </c>
      <c r="F29">
        <v>31</v>
      </c>
      <c r="G29" s="1" t="s">
        <v>13</v>
      </c>
      <c r="H29" s="1" t="s">
        <v>23</v>
      </c>
    </row>
    <row r="30" spans="1:8" x14ac:dyDescent="0.3">
      <c r="A30" s="1" t="s">
        <v>93</v>
      </c>
      <c r="B30" s="1" t="s">
        <v>94</v>
      </c>
      <c r="C30" s="1" t="s">
        <v>87</v>
      </c>
      <c r="D30" s="1" t="s">
        <v>17</v>
      </c>
      <c r="E30" s="1" t="s">
        <v>95</v>
      </c>
      <c r="F30">
        <v>29</v>
      </c>
      <c r="G30" s="1" t="s">
        <v>13</v>
      </c>
      <c r="H30" s="1" t="s">
        <v>18</v>
      </c>
    </row>
    <row r="31" spans="1:8" x14ac:dyDescent="0.3">
      <c r="A31" s="1" t="s">
        <v>96</v>
      </c>
      <c r="B31" s="1" t="s">
        <v>97</v>
      </c>
      <c r="C31" s="1" t="s">
        <v>98</v>
      </c>
      <c r="D31" s="1" t="s">
        <v>11</v>
      </c>
      <c r="E31" s="1" t="s">
        <v>12</v>
      </c>
      <c r="F31">
        <v>24</v>
      </c>
      <c r="G31" s="1" t="s">
        <v>22</v>
      </c>
      <c r="H31" s="1" t="s">
        <v>73</v>
      </c>
    </row>
    <row r="32" spans="1:8" x14ac:dyDescent="0.3">
      <c r="A32" s="1" t="s">
        <v>99</v>
      </c>
      <c r="B32" s="1" t="s">
        <v>100</v>
      </c>
      <c r="C32" s="1" t="s">
        <v>98</v>
      </c>
      <c r="D32" s="1" t="s">
        <v>17</v>
      </c>
      <c r="E32" s="1" t="s">
        <v>12</v>
      </c>
      <c r="F32">
        <v>35</v>
      </c>
      <c r="G32" s="1" t="s">
        <v>13</v>
      </c>
      <c r="H32" s="1" t="s">
        <v>29</v>
      </c>
    </row>
    <row r="33" spans="1:8" x14ac:dyDescent="0.3">
      <c r="A33" s="1" t="s">
        <v>101</v>
      </c>
      <c r="B33" s="1" t="s">
        <v>102</v>
      </c>
      <c r="C33" s="1" t="s">
        <v>98</v>
      </c>
      <c r="D33" s="1" t="s">
        <v>21</v>
      </c>
      <c r="E33" s="1" t="s">
        <v>95</v>
      </c>
      <c r="F33">
        <v>33</v>
      </c>
      <c r="G33" s="1" t="s">
        <v>13</v>
      </c>
      <c r="H33" s="1" t="s">
        <v>14</v>
      </c>
    </row>
    <row r="34" spans="1:8" x14ac:dyDescent="0.3">
      <c r="A34" s="1" t="s">
        <v>103</v>
      </c>
      <c r="B34" s="1" t="s">
        <v>104</v>
      </c>
      <c r="C34" s="1" t="s">
        <v>98</v>
      </c>
      <c r="D34" s="1" t="s">
        <v>11</v>
      </c>
      <c r="E34" s="1" t="s">
        <v>49</v>
      </c>
      <c r="F34">
        <v>31</v>
      </c>
      <c r="G34" s="1" t="s">
        <v>22</v>
      </c>
      <c r="H34" s="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65BCFC0F-A054-480F-BB0F-A7A6916F3E4C}">
  <ds:schemaRefs/>
</ds:datastoreItem>
</file>

<file path=customXml/itemProps2.xml><?xml version="1.0" encoding="utf-8"?>
<ds:datastoreItem xmlns:ds="http://schemas.openxmlformats.org/officeDocument/2006/customXml" ds:itemID="{B3A8A671-C759-4DEA-8E35-57FFEC113890}">
  <ds:schemaRefs/>
</ds:datastoreItem>
</file>

<file path=customXml/itemProps3.xml><?xml version="1.0" encoding="utf-8"?>
<ds:datastoreItem xmlns:ds="http://schemas.openxmlformats.org/officeDocument/2006/customXml" ds:itemID="{1645EB7F-A0A4-4DF0-87BA-BE0C6A96C5BA}">
  <ds:schemaRefs/>
</ds:datastoreItem>
</file>

<file path=customXml/itemProps4.xml><?xml version="1.0" encoding="utf-8"?>
<ds:datastoreItem xmlns:ds="http://schemas.openxmlformats.org/officeDocument/2006/customXml" ds:itemID="{E326280D-DC0F-4EC9-A762-A14EBB6284F9}">
  <ds:schemaRefs/>
</ds:datastoreItem>
</file>

<file path=customXml/itemProps5.xml><?xml version="1.0" encoding="utf-8"?>
<ds:datastoreItem xmlns:ds="http://schemas.openxmlformats.org/officeDocument/2006/customXml" ds:itemID="{DA03AB87-7041-4081-987A-9820396D95EE}">
  <ds:schemaRefs/>
</ds:datastoreItem>
</file>

<file path=customXml/itemProps6.xml><?xml version="1.0" encoding="utf-8"?>
<ds:datastoreItem xmlns:ds="http://schemas.openxmlformats.org/officeDocument/2006/customXml" ds:itemID="{2C4A0E49-2A32-4462-ADA5-2EB1DE1AF0A4}">
  <ds:schemaRefs/>
</ds:datastoreItem>
</file>

<file path=customXml/itemProps7.xml><?xml version="1.0" encoding="utf-8"?>
<ds:datastoreItem xmlns:ds="http://schemas.openxmlformats.org/officeDocument/2006/customXml" ds:itemID="{92AC3FF2-6985-4EAB-B22C-F43E07E36942}">
  <ds:schemaRefs/>
</ds:datastoreItem>
</file>

<file path=customXml/itemProps8.xml><?xml version="1.0" encoding="utf-8"?>
<ds:datastoreItem xmlns:ds="http://schemas.openxmlformats.org/officeDocument/2006/customXml" ds:itemID="{6738F611-ECAE-4693-91A3-610A14165BEB}">
  <ds:schemaRefs/>
</ds:datastoreItem>
</file>

<file path=customXml/itemProps9.xml><?xml version="1.0" encoding="utf-8"?>
<ds:datastoreItem xmlns:ds="http://schemas.openxmlformats.org/officeDocument/2006/customXml" ds:itemID="{F1F9E9A0-9E24-4731-9A1D-A08BA4771A25}">
  <ds:schemaRefs/>
</ds:datastoreItem>
</file>

<file path=customXml/itemProps10.xml><?xml version="1.0" encoding="utf-8"?>
<ds:datastoreItem xmlns:ds="http://schemas.openxmlformats.org/officeDocument/2006/customXml" ds:itemID="{983221C3-5785-46DF-8A67-35049C3CE77B}">
  <ds:schemaRefs/>
</ds:datastoreItem>
</file>

<file path=customXml/itemProps11.xml><?xml version="1.0" encoding="utf-8"?>
<ds:datastoreItem xmlns:ds="http://schemas.openxmlformats.org/officeDocument/2006/customXml" ds:itemID="{9F060E0C-1B24-477A-B3FC-B2D1082DFDBA}">
  <ds:schemaRefs/>
</ds:datastoreItem>
</file>

<file path=customXml/itemProps12.xml><?xml version="1.0" encoding="utf-8"?>
<ds:datastoreItem xmlns:ds="http://schemas.openxmlformats.org/officeDocument/2006/customXml" ds:itemID="{7E46B27A-8A01-49A1-80CC-ADD4CC5105B4}">
  <ds:schemaRefs/>
</ds:datastoreItem>
</file>

<file path=customXml/itemProps13.xml><?xml version="1.0" encoding="utf-8"?>
<ds:datastoreItem xmlns:ds="http://schemas.openxmlformats.org/officeDocument/2006/customXml" ds:itemID="{F7FBA936-B684-4162-82C8-A52C8072191A}">
  <ds:schemaRefs/>
</ds:datastoreItem>
</file>

<file path=customXml/itemProps14.xml><?xml version="1.0" encoding="utf-8"?>
<ds:datastoreItem xmlns:ds="http://schemas.openxmlformats.org/officeDocument/2006/customXml" ds:itemID="{400ECC20-3133-471E-82F2-076219AB670E}">
  <ds:schemaRefs/>
</ds:datastoreItem>
</file>

<file path=customXml/itemProps15.xml><?xml version="1.0" encoding="utf-8"?>
<ds:datastoreItem xmlns:ds="http://schemas.openxmlformats.org/officeDocument/2006/customXml" ds:itemID="{6AA72613-D1D7-4D1B-BFD9-6C17087EF4C1}">
  <ds:schemaRefs/>
</ds:datastoreItem>
</file>

<file path=customXml/itemProps16.xml><?xml version="1.0" encoding="utf-8"?>
<ds:datastoreItem xmlns:ds="http://schemas.openxmlformats.org/officeDocument/2006/customXml" ds:itemID="{94F74885-DE84-478D-9CEC-FB847E9695DA}">
  <ds:schemaRefs/>
</ds:datastoreItem>
</file>

<file path=customXml/itemProps17.xml><?xml version="1.0" encoding="utf-8"?>
<ds:datastoreItem xmlns:ds="http://schemas.openxmlformats.org/officeDocument/2006/customXml" ds:itemID="{34576D8D-1226-472B-BB6D-1A232A2DD501}">
  <ds:schemaRefs/>
</ds:datastoreItem>
</file>

<file path=customXml/itemProps18.xml><?xml version="1.0" encoding="utf-8"?>
<ds:datastoreItem xmlns:ds="http://schemas.openxmlformats.org/officeDocument/2006/customXml" ds:itemID="{B2B28935-7976-46E3-9818-05EFB73E6D59}">
  <ds:schemaRefs/>
</ds:datastoreItem>
</file>

<file path=customXml/itemProps19.xml><?xml version="1.0" encoding="utf-8"?>
<ds:datastoreItem xmlns:ds="http://schemas.openxmlformats.org/officeDocument/2006/customXml" ds:itemID="{A5CD0D7D-FAFB-4E00-8B09-14DFBC7AD3AD}">
  <ds:schemaRefs/>
</ds:datastoreItem>
</file>

<file path=customXml/itemProps20.xml><?xml version="1.0" encoding="utf-8"?>
<ds:datastoreItem xmlns:ds="http://schemas.openxmlformats.org/officeDocument/2006/customXml" ds:itemID="{2993D118-93ED-4966-B82C-2D45CC3BD1CE}">
  <ds:schemaRefs/>
</ds:datastoreItem>
</file>

<file path=customXml/itemProps21.xml><?xml version="1.0" encoding="utf-8"?>
<ds:datastoreItem xmlns:ds="http://schemas.openxmlformats.org/officeDocument/2006/customXml" ds:itemID="{C877B23F-E06C-4FE0-A6FB-FED8A7D9270D}">
  <ds:schemaRefs/>
</ds:datastoreItem>
</file>

<file path=customXml/itemProps22.xml><?xml version="1.0" encoding="utf-8"?>
<ds:datastoreItem xmlns:ds="http://schemas.openxmlformats.org/officeDocument/2006/customXml" ds:itemID="{AD4DFF72-307E-49AC-BB3A-FB0AE956AE0B}">
  <ds:schemaRefs/>
</ds:datastoreItem>
</file>

<file path=customXml/itemProps23.xml><?xml version="1.0" encoding="utf-8"?>
<ds:datastoreItem xmlns:ds="http://schemas.openxmlformats.org/officeDocument/2006/customXml" ds:itemID="{CC87FBE1-C798-49AF-93D4-7E5A3ABD5023}">
  <ds:schemaRefs/>
</ds:datastoreItem>
</file>

<file path=customXml/itemProps24.xml><?xml version="1.0" encoding="utf-8"?>
<ds:datastoreItem xmlns:ds="http://schemas.openxmlformats.org/officeDocument/2006/customXml" ds:itemID="{466E3728-DF5C-4F22-AC78-15D9630BD19E}">
  <ds:schemaRefs/>
</ds:datastoreItem>
</file>

<file path=customXml/itemProps25.xml><?xml version="1.0" encoding="utf-8"?>
<ds:datastoreItem xmlns:ds="http://schemas.openxmlformats.org/officeDocument/2006/customXml" ds:itemID="{9FC9C83B-AA81-446A-91C6-E6ACD3087549}">
  <ds:schemaRefs/>
</ds:datastoreItem>
</file>

<file path=customXml/itemProps26.xml><?xml version="1.0" encoding="utf-8"?>
<ds:datastoreItem xmlns:ds="http://schemas.openxmlformats.org/officeDocument/2006/customXml" ds:itemID="{BC2F7A64-C878-457A-84CD-538EB539C2D5}">
  <ds:schemaRefs/>
</ds:datastoreItem>
</file>

<file path=customXml/itemProps27.xml><?xml version="1.0" encoding="utf-8"?>
<ds:datastoreItem xmlns:ds="http://schemas.openxmlformats.org/officeDocument/2006/customXml" ds:itemID="{B6747AC4-A43E-4C38-B125-CC552E32A0A0}">
  <ds:schemaRefs>
    <ds:schemaRef ds:uri="http://schemas.microsoft.com/DataMashup"/>
  </ds:schemaRefs>
</ds:datastoreItem>
</file>

<file path=customXml/itemProps28.xml><?xml version="1.0" encoding="utf-8"?>
<ds:datastoreItem xmlns:ds="http://schemas.openxmlformats.org/officeDocument/2006/customXml" ds:itemID="{468360AF-ABE8-48E3-A470-E79A79AE21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Team_performance_Dashboard</vt:lpstr>
      <vt:lpstr>Player_performance_dashboard</vt:lpstr>
      <vt:lpstr>Team_Summary</vt:lpstr>
      <vt:lpstr>Player_Summary</vt:lpstr>
      <vt:lpstr>Sheet4</vt:lpstr>
      <vt:lpstr>fact_player</vt:lpstr>
      <vt:lpstr>fact_match</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Sahu</dc:creator>
  <cp:lastModifiedBy>Priyanshu Sahu</cp:lastModifiedBy>
  <cp:lastPrinted>2026-10-08T08:16:57Z</cp:lastPrinted>
  <dcterms:created xsi:type="dcterms:W3CDTF">2026-10-06T09:36:40Z</dcterms:created>
  <dcterms:modified xsi:type="dcterms:W3CDTF">2026-10-08T08:17:24Z</dcterms:modified>
</cp:coreProperties>
</file>